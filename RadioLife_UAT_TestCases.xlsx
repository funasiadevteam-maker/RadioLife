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AT Test Cas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'UAT Test Cases'!$A$1:$O$65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2D3EE"/>
      <sz val="18"/>
    </font>
    <font>
      <sz val="11"/>
    </font>
    <font>
      <b val="1"/>
      <color rgb="000A0A0F"/>
      <sz val="13"/>
    </font>
    <font>
      <b val="1"/>
      <color rgb="00FFFFFF"/>
      <sz val="11"/>
    </font>
    <font>
      <sz val="10"/>
    </font>
    <font>
      <b val="1"/>
      <color rgb="0022D3EE"/>
      <sz val="16"/>
    </font>
    <font>
      <b val="1"/>
      <sz val="12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A0A0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1E7D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9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RadioLife.app — UAT &amp; Test Cases</t>
        </is>
      </c>
    </row>
    <row r="2">
      <c r="B2" s="2" t="inlineStr"/>
    </row>
    <row r="3">
      <c r="B3" s="3" t="inlineStr">
        <is>
          <t>Environments</t>
        </is>
      </c>
    </row>
    <row r="4">
      <c r="B4" s="2" t="inlineStr">
        <is>
          <t>• PRODUCTION (live): https://radiolife.app — test the real, deployed app here.</t>
        </is>
      </c>
    </row>
    <row r="5">
      <c r="B5" s="2" t="inlineStr">
        <is>
          <t>• PREVIEW (dev): the Emergent preview URL — where new changes land before deploy.</t>
        </is>
      </c>
    </row>
    <row r="6">
      <c r="B6" s="2" t="inlineStr">
        <is>
          <t>Always record which environment a defect was found on.</t>
        </is>
      </c>
    </row>
    <row r="7">
      <c r="B7" s="2" t="inlineStr"/>
    </row>
    <row r="8">
      <c r="B8" s="3" t="inlineStr">
        <is>
          <t>Test accounts</t>
        </is>
      </c>
    </row>
    <row r="9">
      <c r="B9" s="2" t="inlineStr">
        <is>
          <t>• Admin:    admin@bigfm.dubai / AdminPass123!</t>
        </is>
      </c>
    </row>
    <row r="10">
      <c r="B10" s="2" t="inlineStr">
        <is>
          <t>• Merchant: test@bigfm.dubai  / TestUser123!</t>
        </is>
      </c>
    </row>
    <row r="11">
      <c r="B11" s="2" t="inlineStr">
        <is>
          <t>• User:     demo@bigfm.dubai  / DemoPass123!</t>
        </is>
      </c>
    </row>
    <row r="12">
      <c r="B12" s="2" t="inlineStr"/>
    </row>
    <row r="13">
      <c r="B13" s="3" t="inlineStr">
        <is>
          <t>How to use this workbook</t>
        </is>
      </c>
    </row>
    <row r="14">
      <c r="B14" s="2" t="inlineStr">
        <is>
          <t>1. Go to the 'UAT Test Cases' tab.</t>
        </is>
      </c>
    </row>
    <row r="15">
      <c r="B15" s="2" t="inlineStr">
        <is>
          <t>2. Each row is one test. Follow 'Test Steps' with the given 'Test Data'.</t>
        </is>
      </c>
    </row>
    <row r="16">
      <c r="B16" s="2" t="inlineStr">
        <is>
          <t>3. Compare what you see to 'Expected Result'.</t>
        </is>
      </c>
    </row>
    <row r="17">
      <c r="B17" s="2" t="inlineStr">
        <is>
          <t>4. Fill 'Actual Result', set 'Status' (Pass / Fail / Blocked / N/A) from the dropdown,</t>
        </is>
      </c>
    </row>
    <row r="18">
      <c r="B18" s="2" t="inlineStr">
        <is>
          <t xml:space="preserve">   add your name in 'Tester', the 'Date', and any 'Notes / Defect ID'.</t>
        </is>
      </c>
    </row>
    <row r="19">
      <c r="B19" s="2" t="inlineStr">
        <is>
          <t>5. The 'Summary' tab auto-counts Pass/Fail/Blocked as you fill Status.</t>
        </is>
      </c>
    </row>
    <row r="20">
      <c r="B20" s="2" t="inlineStr"/>
    </row>
    <row r="21">
      <c r="B21" s="3" t="inlineStr">
        <is>
          <t>Priority key</t>
        </is>
      </c>
    </row>
    <row r="22">
      <c r="B22" s="2" t="inlineStr">
        <is>
          <t>• P0 = critical (must pass to ship)   • P1 = high   • P2 = medium/nice-to-have</t>
        </is>
      </c>
    </row>
    <row r="23">
      <c r="B23" s="2" t="inlineStr">
        <is>
          <t>Platform: Web = radiolife.app / preview web · Mobile = Expo app · Both = verify on each.</t>
        </is>
      </c>
    </row>
    <row r="24">
      <c r="B24" s="2" t="inlineStr"/>
    </row>
    <row r="25">
      <c r="B25" s="2" t="inlineStr">
        <is>
          <t>Tip: use Data &gt; Filter on the test-cases tab to run by Module, Priority, or Platform.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8" customWidth="1" min="4" max="4"/>
    <col width="9" customWidth="1" min="5" max="5"/>
    <col width="12" customWidth="1" min="6" max="6"/>
    <col width="30" customWidth="1" min="7" max="7"/>
    <col width="40" customWidth="1" min="8" max="8"/>
    <col width="22" customWidth="1" min="9" max="9"/>
    <col width="46" customWidth="1" min="10" max="10"/>
    <col width="30" customWidth="1" min="11" max="11"/>
    <col width="12" customWidth="1" min="12" max="12"/>
    <col width="12" customWidth="1" min="13" max="13"/>
    <col width="12" customWidth="1" min="14" max="14"/>
    <col width="22" customWidth="1" min="15" max="15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Priority</t>
        </is>
      </c>
      <c r="E1" s="4" t="inlineStr">
        <is>
          <t>Platform</t>
        </is>
      </c>
      <c r="F1" s="4" t="inlineStr">
        <is>
          <t>Type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Test Data</t>
        </is>
      </c>
      <c r="J1" s="4" t="inlineStr">
        <is>
          <t>Expected Result</t>
        </is>
      </c>
      <c r="K1" s="4" t="inlineStr">
        <is>
          <t>Actual Result</t>
        </is>
      </c>
      <c r="L1" s="4" t="inlineStr">
        <is>
          <t>Status</t>
        </is>
      </c>
      <c r="M1" s="4" t="inlineStr">
        <is>
          <t>Tester</t>
        </is>
      </c>
      <c r="N1" s="4" t="inlineStr">
        <is>
          <t>Date</t>
        </is>
      </c>
      <c r="O1" s="4" t="inlineStr">
        <is>
          <t>Notes / Defect ID</t>
        </is>
      </c>
    </row>
    <row r="2">
      <c r="A2" s="5" t="inlineStr">
        <is>
          <t>A-01</t>
        </is>
      </c>
      <c r="B2" s="5" t="inlineStr">
        <is>
          <t>Authentication</t>
        </is>
      </c>
      <c r="C2" s="5" t="inlineStr">
        <is>
          <t>Login</t>
        </is>
      </c>
      <c r="D2" s="6" t="inlineStr">
        <is>
          <t>P0</t>
        </is>
      </c>
      <c r="E2" s="7" t="inlineStr">
        <is>
          <t>Both</t>
        </is>
      </c>
      <c r="F2" s="7" t="inlineStr">
        <is>
          <t>Functional</t>
        </is>
      </c>
      <c r="G2" s="5" t="inlineStr">
        <is>
          <t>Registered user; on Login screen</t>
        </is>
      </c>
      <c r="H2" s="5" t="inlineStr">
        <is>
          <t>1. Enter email &amp; password
2. Tap/Click Sign in</t>
        </is>
      </c>
      <c r="I2" s="5" t="inlineStr">
        <is>
          <t>demo@bigfm.dubai / DemoPass123!</t>
        </is>
      </c>
      <c r="J2" s="5" t="inlineStr">
        <is>
          <t>User is authenticated and lands on Home; session persists on reload</t>
        </is>
      </c>
      <c r="K2" s="5" t="inlineStr"/>
      <c r="L2" s="7" t="inlineStr">
        <is>
          <t>Not Run</t>
        </is>
      </c>
      <c r="M2" s="5" t="inlineStr"/>
      <c r="N2" s="5" t="inlineStr"/>
      <c r="O2" s="5" t="inlineStr"/>
    </row>
    <row r="3">
      <c r="A3" s="5" t="inlineStr">
        <is>
          <t>A-02</t>
        </is>
      </c>
      <c r="B3" s="5" t="inlineStr">
        <is>
          <t>Authentication</t>
        </is>
      </c>
      <c r="C3" s="5" t="inlineStr">
        <is>
          <t>Login - wrong password</t>
        </is>
      </c>
      <c r="D3" s="8" t="inlineStr">
        <is>
          <t>P1</t>
        </is>
      </c>
      <c r="E3" s="7" t="inlineStr">
        <is>
          <t>Both</t>
        </is>
      </c>
      <c r="F3" s="7" t="inlineStr">
        <is>
          <t>Negative</t>
        </is>
      </c>
      <c r="G3" s="5" t="inlineStr">
        <is>
          <t>On Login screen</t>
        </is>
      </c>
      <c r="H3" s="5" t="inlineStr">
        <is>
          <t>1. Enter valid email + wrong password
2. Submit</t>
        </is>
      </c>
      <c r="I3" s="5" t="inlineStr">
        <is>
          <t>demo@bigfm.dubai / wrongpass</t>
        </is>
      </c>
      <c r="J3" s="5" t="inlineStr">
        <is>
          <t>Friendly error shown; NOT logged in; no crash; no 'clear cache' prompt</t>
        </is>
      </c>
      <c r="K3" s="5" t="inlineStr"/>
      <c r="L3" s="7" t="inlineStr">
        <is>
          <t>Not Run</t>
        </is>
      </c>
      <c r="M3" s="5" t="inlineStr"/>
      <c r="N3" s="5" t="inlineStr"/>
      <c r="O3" s="5" t="inlineStr"/>
    </row>
    <row r="4">
      <c r="A4" s="5" t="inlineStr">
        <is>
          <t>A-03</t>
        </is>
      </c>
      <c r="B4" s="5" t="inlineStr">
        <is>
          <t>Authentication</t>
        </is>
      </c>
      <c r="C4" s="5" t="inlineStr">
        <is>
          <t>Onboarding gate</t>
        </is>
      </c>
      <c r="D4" s="8" t="inlineStr">
        <is>
          <t>P1</t>
        </is>
      </c>
      <c r="E4" s="7" t="inlineStr">
        <is>
          <t>Both</t>
        </is>
      </c>
      <c r="F4" s="7" t="inlineStr">
        <is>
          <t>Functional</t>
        </is>
      </c>
      <c r="G4" s="5" t="inlineStr">
        <is>
          <t>New user with onboarding_complete=false</t>
        </is>
      </c>
      <c r="H4" s="5" t="inlineStr">
        <is>
          <t>1. Log in as a fresh user
2. Observe redirect</t>
        </is>
      </c>
      <c r="I4" s="5" t="inlineStr">
        <is>
          <t>new signup</t>
        </is>
      </c>
      <c r="J4" s="5" t="inlineStr">
        <is>
          <t>User is redirected to onboarding, not Home, until onboarding completes</t>
        </is>
      </c>
      <c r="K4" s="5" t="inlineStr"/>
      <c r="L4" s="7" t="inlineStr">
        <is>
          <t>Not Run</t>
        </is>
      </c>
      <c r="M4" s="5" t="inlineStr"/>
      <c r="N4" s="5" t="inlineStr"/>
      <c r="O4" s="5" t="inlineStr"/>
    </row>
    <row r="5">
      <c r="A5" s="5" t="inlineStr">
        <is>
          <t>A-04</t>
        </is>
      </c>
      <c r="B5" s="5" t="inlineStr">
        <is>
          <t>Authentication</t>
        </is>
      </c>
      <c r="C5" s="5" t="inlineStr">
        <is>
          <t>Logout</t>
        </is>
      </c>
      <c r="D5" s="9" t="inlineStr">
        <is>
          <t>P2</t>
        </is>
      </c>
      <c r="E5" s="7" t="inlineStr">
        <is>
          <t>Both</t>
        </is>
      </c>
      <c r="F5" s="7" t="inlineStr">
        <is>
          <t>Functional</t>
        </is>
      </c>
      <c r="G5" s="5" t="inlineStr">
        <is>
          <t>Logged in</t>
        </is>
      </c>
      <c r="H5" s="5" t="inlineStr">
        <is>
          <t>1. Open profile/menu
2. Tap Logout</t>
        </is>
      </c>
      <c r="I5" s="5" t="inlineStr">
        <is>
          <t>-</t>
        </is>
      </c>
      <c r="J5" s="5" t="inlineStr">
        <is>
          <t>Session cleared; redirected to Login; protected routes no longer accessible</t>
        </is>
      </c>
      <c r="K5" s="5" t="inlineStr"/>
      <c r="L5" s="7" t="inlineStr">
        <is>
          <t>Not Run</t>
        </is>
      </c>
      <c r="M5" s="5" t="inlineStr"/>
      <c r="N5" s="5" t="inlineStr"/>
      <c r="O5" s="5" t="inlineStr"/>
    </row>
    <row r="6">
      <c r="A6" s="5" t="inlineStr">
        <is>
          <t>HS-01</t>
        </is>
      </c>
      <c r="B6" s="5" t="inlineStr">
        <is>
          <t>Home / Shell</t>
        </is>
      </c>
      <c r="C6" s="5" t="inlineStr">
        <is>
          <t>Home loads with shelves</t>
        </is>
      </c>
      <c r="D6" s="6" t="inlineStr">
        <is>
          <t>P0</t>
        </is>
      </c>
      <c r="E6" s="7" t="inlineStr">
        <is>
          <t>Web</t>
        </is>
      </c>
      <c r="F6" s="7" t="inlineStr">
        <is>
          <t>Smoke</t>
        </is>
      </c>
      <c r="G6" s="5" t="inlineStr">
        <is>
          <t>Logged in</t>
        </is>
      </c>
      <c r="H6" s="5" t="inlineStr">
        <is>
          <t>1. Open Home (/)
2. Wait for load</t>
        </is>
      </c>
      <c r="I6" s="5" t="inlineStr">
        <is>
          <t>-</t>
        </is>
      </c>
      <c r="J6" s="5" t="inlineStr">
        <is>
          <t>Header, filter chips, and shelves render; no blank screen; no console errors</t>
        </is>
      </c>
      <c r="K6" s="5" t="inlineStr"/>
      <c r="L6" s="7" t="inlineStr">
        <is>
          <t>Not Run</t>
        </is>
      </c>
      <c r="M6" s="5" t="inlineStr"/>
      <c r="N6" s="5" t="inlineStr"/>
      <c r="O6" s="5" t="inlineStr"/>
    </row>
    <row r="7">
      <c r="A7" s="5" t="inlineStr">
        <is>
          <t>HS-02</t>
        </is>
      </c>
      <c r="B7" s="5" t="inlineStr">
        <is>
          <t>Home / Shell</t>
        </is>
      </c>
      <c r="C7" s="5" t="inlineStr">
        <is>
          <t>Sidebar chip counts</t>
        </is>
      </c>
      <c r="D7" s="8" t="inlineStr">
        <is>
          <t>P1</t>
        </is>
      </c>
      <c r="E7" s="7" t="inlineStr">
        <is>
          <t>Web</t>
        </is>
      </c>
      <c r="F7" s="7" t="inlineStr">
        <is>
          <t>Functional</t>
        </is>
      </c>
      <c r="G7" s="5" t="inlineStr">
        <is>
          <t>Logged in</t>
        </is>
      </c>
      <c r="H7" s="5" t="inlineStr">
        <is>
          <t>1. Observe left sidebar / filter chips
2. Compare counts to content</t>
        </is>
      </c>
      <c r="I7" s="5" t="inlineStr">
        <is>
          <t>-</t>
        </is>
      </c>
      <c r="J7" s="5" t="inlineStr">
        <is>
          <t>Chips show live counts (Radio, Shop cats, News, Games); zero-count items hidden</t>
        </is>
      </c>
      <c r="K7" s="5" t="inlineStr"/>
      <c r="L7" s="7" t="inlineStr">
        <is>
          <t>Not Run</t>
        </is>
      </c>
      <c r="M7" s="5" t="inlineStr"/>
      <c r="N7" s="5" t="inlineStr"/>
      <c r="O7" s="5" t="inlineStr"/>
    </row>
    <row r="8">
      <c r="A8" s="5" t="inlineStr">
        <is>
          <t>HS-03</t>
        </is>
      </c>
      <c r="B8" s="5" t="inlineStr">
        <is>
          <t>Home / Shell</t>
        </is>
      </c>
      <c r="C8" s="5" t="inlineStr">
        <is>
          <t>Radio chip switches feed</t>
        </is>
      </c>
      <c r="D8" s="6" t="inlineStr">
        <is>
          <t>P0</t>
        </is>
      </c>
      <c r="E8" s="7" t="inlineStr">
        <is>
          <t>Web</t>
        </is>
      </c>
      <c r="F8" s="7" t="inlineStr">
        <is>
          <t>Functional</t>
        </is>
      </c>
      <c r="G8" s="5" t="inlineStr">
        <is>
          <t>On Home, chip=All</t>
        </is>
      </c>
      <c r="H8" s="5" t="inlineStr">
        <is>
          <t>1. Click 'Radio' chip
2. Observe feed</t>
        </is>
      </c>
      <c r="I8" s="5" t="inlineStr">
        <is>
          <t>-</t>
        </is>
      </c>
      <c r="J8" s="5" t="inlineStr">
        <is>
          <t>Feed switches to a station grid (home-station-grid); visibly different from default feed</t>
        </is>
      </c>
      <c r="K8" s="5" t="inlineStr"/>
      <c r="L8" s="7" t="inlineStr">
        <is>
          <t>Not Run</t>
        </is>
      </c>
      <c r="M8" s="5" t="inlineStr"/>
      <c r="N8" s="5" t="inlineStr"/>
      <c r="O8" s="5" t="inlineStr"/>
    </row>
    <row r="9">
      <c r="A9" s="5" t="inlineStr">
        <is>
          <t>HS-04</t>
        </is>
      </c>
      <c r="B9" s="5" t="inlineStr">
        <is>
          <t>Home / Shell</t>
        </is>
      </c>
      <c r="C9" s="5" t="inlineStr">
        <is>
          <t>Empty-state doctrine</t>
        </is>
      </c>
      <c r="D9" s="8" t="inlineStr">
        <is>
          <t>P1</t>
        </is>
      </c>
      <c r="E9" s="7" t="inlineStr">
        <is>
          <t>Both</t>
        </is>
      </c>
      <c r="F9" s="7" t="inlineStr">
        <is>
          <t>Functional</t>
        </is>
      </c>
      <c r="G9" s="5" t="inlineStr">
        <is>
          <t>A shelf/category has no content</t>
        </is>
      </c>
      <c r="H9" s="5" t="inlineStr">
        <is>
          <t>1. View Home default feed
2. Look for empty shelves</t>
        </is>
      </c>
      <c r="I9" s="5" t="inlineStr">
        <is>
          <t>-</t>
        </is>
      </c>
      <c r="J9" s="5" t="inlineStr">
        <is>
          <t>Shelves with no content are hidden entirely; no 'nothing yet' placeholder in default feed</t>
        </is>
      </c>
      <c r="K9" s="5" t="inlineStr"/>
      <c r="L9" s="7" t="inlineStr">
        <is>
          <t>Not Run</t>
        </is>
      </c>
      <c r="M9" s="5" t="inlineStr"/>
      <c r="N9" s="5" t="inlineStr"/>
      <c r="O9" s="5" t="inlineStr"/>
    </row>
    <row r="10">
      <c r="A10" s="5" t="inlineStr">
        <is>
          <t>R&amp;-01</t>
        </is>
      </c>
      <c r="B10" s="5" t="inlineStr">
        <is>
          <t>Radio &amp; Playback</t>
        </is>
      </c>
      <c r="C10" s="5" t="inlineStr">
        <is>
          <t>Play an AI channel</t>
        </is>
      </c>
      <c r="D10" s="6" t="inlineStr">
        <is>
          <t>P0</t>
        </is>
      </c>
      <c r="E10" s="7" t="inlineStr">
        <is>
          <t>Both</t>
        </is>
      </c>
      <c r="F10" s="7" t="inlineStr">
        <is>
          <t>Functional</t>
        </is>
      </c>
      <c r="G10" s="5" t="inlineStr">
        <is>
          <t>Logged in</t>
        </is>
      </c>
      <c r="H10" s="5" t="inlineStr">
        <is>
          <t>1. Open a station tile in 'Your stations'
2. Tap play</t>
        </is>
      </c>
      <c r="I10" s="5" t="inlineStr">
        <is>
          <t>any channel</t>
        </is>
      </c>
      <c r="J10" s="5" t="inlineStr">
        <is>
          <t>Audio starts; persistent player bar shows station + now-playing segment</t>
        </is>
      </c>
      <c r="K10" s="5" t="inlineStr"/>
      <c r="L10" s="7" t="inlineStr">
        <is>
          <t>Not Run</t>
        </is>
      </c>
      <c r="M10" s="5" t="inlineStr"/>
      <c r="N10" s="5" t="inlineStr"/>
      <c r="O10" s="5" t="inlineStr"/>
    </row>
    <row r="11">
      <c r="A11" s="5" t="inlineStr">
        <is>
          <t>R&amp;-02</t>
        </is>
      </c>
      <c r="B11" s="5" t="inlineStr">
        <is>
          <t>Radio &amp; Playback</t>
        </is>
      </c>
      <c r="C11" s="5" t="inlineStr">
        <is>
          <t>Play imported world station</t>
        </is>
      </c>
      <c r="D11" s="6" t="inlineStr">
        <is>
          <t>P0</t>
        </is>
      </c>
      <c r="E11" s="7" t="inlineStr">
        <is>
          <t>Both</t>
        </is>
      </c>
      <c r="F11" s="7" t="inlineStr">
        <is>
          <t>Functional</t>
        </is>
      </c>
      <c r="G11" s="5" t="inlineStr">
        <is>
          <t>On Radio browse / all stations</t>
        </is>
      </c>
      <c r="H11" s="5" t="inlineStr">
        <is>
          <t>1. Search/browse to a world station
2. Tap play</t>
        </is>
      </c>
      <c r="I11" s="5" t="inlineStr">
        <is>
          <t>e.g. Classic FM UK</t>
        </is>
      </c>
      <c r="J11" s="5" t="inlineStr">
        <is>
          <t>Stream plays; station detail shows tags/country/language</t>
        </is>
      </c>
      <c r="K11" s="5" t="inlineStr"/>
      <c r="L11" s="7" t="inlineStr">
        <is>
          <t>Not Run</t>
        </is>
      </c>
      <c r="M11" s="5" t="inlineStr"/>
      <c r="N11" s="5" t="inlineStr"/>
      <c r="O11" s="5" t="inlineStr"/>
    </row>
    <row r="12">
      <c r="A12" s="5" t="inlineStr">
        <is>
          <t>R&amp;-03</t>
        </is>
      </c>
      <c r="B12" s="5" t="inlineStr">
        <is>
          <t>Radio &amp; Playback</t>
        </is>
      </c>
      <c r="C12" s="5" t="inlineStr">
        <is>
          <t>Persistent player continue</t>
        </is>
      </c>
      <c r="D12" s="8" t="inlineStr">
        <is>
          <t>P1</t>
        </is>
      </c>
      <c r="E12" s="7" t="inlineStr">
        <is>
          <t>Both</t>
        </is>
      </c>
      <c r="F12" s="7" t="inlineStr">
        <is>
          <t>Functional</t>
        </is>
      </c>
      <c r="G12" s="5" t="inlineStr">
        <is>
          <t>A station is playing</t>
        </is>
      </c>
      <c r="H12" s="5" t="inlineStr">
        <is>
          <t>1. Navigate to another tab/page
2. Observe player</t>
        </is>
      </c>
      <c r="I12" s="5" t="inlineStr">
        <is>
          <t>-</t>
        </is>
      </c>
      <c r="J12" s="5" t="inlineStr">
        <is>
          <t>Playback continues; player bar persists; Continue-listening shows the station</t>
        </is>
      </c>
      <c r="K12" s="5" t="inlineStr"/>
      <c r="L12" s="7" t="inlineStr">
        <is>
          <t>Not Run</t>
        </is>
      </c>
      <c r="M12" s="5" t="inlineStr"/>
      <c r="N12" s="5" t="inlineStr"/>
      <c r="O12" s="5" t="inlineStr"/>
    </row>
    <row r="13">
      <c r="A13" s="5" t="inlineStr">
        <is>
          <t>R&amp;-04</t>
        </is>
      </c>
      <c r="B13" s="5" t="inlineStr">
        <is>
          <t>Radio &amp; Playback</t>
        </is>
      </c>
      <c r="C13" s="5" t="inlineStr">
        <is>
          <t>Search stations</t>
        </is>
      </c>
      <c r="D13" s="8" t="inlineStr">
        <is>
          <t>P1</t>
        </is>
      </c>
      <c r="E13" s="7" t="inlineStr">
        <is>
          <t>Both</t>
        </is>
      </c>
      <c r="F13" s="7" t="inlineStr">
        <is>
          <t>Functional</t>
        </is>
      </c>
      <c r="G13" s="5" t="inlineStr">
        <is>
          <t>On stations/search</t>
        </is>
      </c>
      <c r="H13" s="5" t="inlineStr">
        <is>
          <t>1. Type a query
2. Review results</t>
        </is>
      </c>
      <c r="I13" s="5" t="inlineStr">
        <is>
          <t>'jazz'</t>
        </is>
      </c>
      <c r="J13" s="5" t="inlineStr">
        <is>
          <t>Relevant stations returned; each shows artwork (never blank)</t>
        </is>
      </c>
      <c r="K13" s="5" t="inlineStr"/>
      <c r="L13" s="7" t="inlineStr">
        <is>
          <t>Not Run</t>
        </is>
      </c>
      <c r="M13" s="5" t="inlineStr"/>
      <c r="N13" s="5" t="inlineStr"/>
      <c r="O13" s="5" t="inlineStr"/>
    </row>
    <row r="14">
      <c r="A14" s="5" t="inlineStr">
        <is>
          <t>SA-01</t>
        </is>
      </c>
      <c r="B14" s="5" t="inlineStr">
        <is>
          <t>Station Artwork</t>
        </is>
      </c>
      <c r="C14" s="5" t="inlineStr">
        <is>
          <t>Every station has art</t>
        </is>
      </c>
      <c r="D14" s="6" t="inlineStr">
        <is>
          <t>P0</t>
        </is>
      </c>
      <c r="E14" s="7" t="inlineStr">
        <is>
          <t>Web</t>
        </is>
      </c>
      <c r="F14" s="7" t="inlineStr">
        <is>
          <t>Functional</t>
        </is>
      </c>
      <c r="G14" s="5" t="inlineStr">
        <is>
          <t>On Radio browse</t>
        </is>
      </c>
      <c r="H14" s="5" t="inlineStr">
        <is>
          <t>1. Open browse list
2. Inspect each station tile</t>
        </is>
      </c>
      <c r="I14" s="5" t="inlineStr">
        <is>
          <t>-</t>
        </is>
      </c>
      <c r="J14" s="5" t="inlineStr">
        <is>
          <t>Every tile shows an image: real logo, AI art, or genre-coloured initials placeholder — never blank</t>
        </is>
      </c>
      <c r="K14" s="5" t="inlineStr"/>
      <c r="L14" s="7" t="inlineStr">
        <is>
          <t>Not Run</t>
        </is>
      </c>
      <c r="M14" s="5" t="inlineStr"/>
      <c r="N14" s="5" t="inlineStr"/>
      <c r="O14" s="5" t="inlineStr"/>
    </row>
    <row r="15">
      <c r="A15" s="5" t="inlineStr">
        <is>
          <t>SA-02</t>
        </is>
      </c>
      <c r="B15" s="5" t="inlineStr">
        <is>
          <t>Station Artwork</t>
        </is>
      </c>
      <c r="C15" s="5" t="inlineStr">
        <is>
          <t>On-demand AI on first open</t>
        </is>
      </c>
      <c r="D15" s="8" t="inlineStr">
        <is>
          <t>P1</t>
        </is>
      </c>
      <c r="E15" s="7" t="inlineStr">
        <is>
          <t>Web</t>
        </is>
      </c>
      <c r="F15" s="7" t="inlineStr">
        <is>
          <t>Functional</t>
        </is>
      </c>
      <c r="G15" s="5" t="inlineStr">
        <is>
          <t>Open a placeholder-only imported station</t>
        </is>
      </c>
      <c r="H15" s="5" t="inlineStr">
        <is>
          <t>1. Open station detail (/radio/station/imp_...)
2. Wait ~20-40s, refresh</t>
        </is>
      </c>
      <c r="I15" s="5" t="inlineStr">
        <is>
          <t>a station with placeholder art</t>
        </is>
      </c>
      <c r="J15" s="5" t="inlineStr">
        <is>
          <t>AI cover is generated from name/genre and appears on refresh; art_source becomes 'ai'</t>
        </is>
      </c>
      <c r="K15" s="5" t="inlineStr"/>
      <c r="L15" s="7" t="inlineStr">
        <is>
          <t>Not Run</t>
        </is>
      </c>
      <c r="M15" s="5" t="inlineStr"/>
      <c r="N15" s="5" t="inlineStr"/>
      <c r="O15" s="5" t="inlineStr"/>
    </row>
    <row r="16">
      <c r="A16" s="5" t="inlineStr">
        <is>
          <t>SA-03</t>
        </is>
      </c>
      <c r="B16" s="5" t="inlineStr">
        <is>
          <t>Station Artwork</t>
        </is>
      </c>
      <c r="C16" s="5" t="inlineStr">
        <is>
          <t>Owner artwork manager visible</t>
        </is>
      </c>
      <c r="D16" s="8" t="inlineStr">
        <is>
          <t>P1</t>
        </is>
      </c>
      <c r="E16" s="7" t="inlineStr">
        <is>
          <t>Web</t>
        </is>
      </c>
      <c r="F16" s="7" t="inlineStr">
        <is>
          <t>Functional</t>
        </is>
      </c>
      <c r="G16" s="5" t="inlineStr">
        <is>
          <t>Logged in as admin OR station owner</t>
        </is>
      </c>
      <c r="H16" s="5" t="inlineStr">
        <is>
          <t>1. Open a station detail page
2. Look for owner tools</t>
        </is>
      </c>
      <c r="I16" s="5" t="inlineStr">
        <is>
          <t>admin@bigfm.dubai / AdminPass123!</t>
        </is>
      </c>
      <c r="J16" s="5" t="inlineStr">
        <is>
          <t>'Station artwork · owner tools' panel shows Generate / Upload / Reset controls</t>
        </is>
      </c>
      <c r="K16" s="5" t="inlineStr"/>
      <c r="L16" s="7" t="inlineStr">
        <is>
          <t>Not Run</t>
        </is>
      </c>
      <c r="M16" s="5" t="inlineStr"/>
      <c r="N16" s="5" t="inlineStr"/>
      <c r="O16" s="5" t="inlineStr"/>
    </row>
    <row r="17">
      <c r="A17" s="5" t="inlineStr">
        <is>
          <t>SA-04</t>
        </is>
      </c>
      <c r="B17" s="5" t="inlineStr">
        <is>
          <t>Station Artwork</t>
        </is>
      </c>
      <c r="C17" s="5" t="inlineStr">
        <is>
          <t>Owner controls hidden for non-owner</t>
        </is>
      </c>
      <c r="D17" s="6" t="inlineStr">
        <is>
          <t>P0</t>
        </is>
      </c>
      <c r="E17" s="7" t="inlineStr">
        <is>
          <t>Web</t>
        </is>
      </c>
      <c r="F17" s="7" t="inlineStr">
        <is>
          <t>Negative</t>
        </is>
      </c>
      <c r="G17" s="5" t="inlineStr">
        <is>
          <t>Logged in as a normal (non-owner) user</t>
        </is>
      </c>
      <c r="H17" s="5" t="inlineStr">
        <is>
          <t>1. Open the same station detail page</t>
        </is>
      </c>
      <c r="I17" s="5" t="inlineStr">
        <is>
          <t>demo@bigfm.dubai / DemoPass123!</t>
        </is>
      </c>
      <c r="J17" s="5" t="inlineStr">
        <is>
          <t>Owner artwork panel is NOT shown; generate/upload/clear API returns 403 if called</t>
        </is>
      </c>
      <c r="K17" s="5" t="inlineStr"/>
      <c r="L17" s="7" t="inlineStr">
        <is>
          <t>Not Run</t>
        </is>
      </c>
      <c r="M17" s="5" t="inlineStr"/>
      <c r="N17" s="5" t="inlineStr"/>
      <c r="O17" s="5" t="inlineStr"/>
    </row>
    <row r="18">
      <c r="A18" s="5" t="inlineStr">
        <is>
          <t>SA-05</t>
        </is>
      </c>
      <c r="B18" s="5" t="inlineStr">
        <is>
          <t>Station Artwork</t>
        </is>
      </c>
      <c r="C18" s="5" t="inlineStr">
        <is>
          <t>Owner generates AI art</t>
        </is>
      </c>
      <c r="D18" s="8" t="inlineStr">
        <is>
          <t>P1</t>
        </is>
      </c>
      <c r="E18" s="7" t="inlineStr">
        <is>
          <t>Web</t>
        </is>
      </c>
      <c r="F18" s="7" t="inlineStr">
        <is>
          <t>Functional</t>
        </is>
      </c>
      <c r="G18" s="5" t="inlineStr">
        <is>
          <t>Logged in as admin/owner on station detail</t>
        </is>
      </c>
      <c r="H18" s="5" t="inlineStr">
        <is>
          <t>1. Click 'Generate AI artwork'
2. Wait for completion toast</t>
        </is>
      </c>
      <c r="I18" s="5" t="inlineStr">
        <is>
          <t>-</t>
        </is>
      </c>
      <c r="J18" s="5" t="inlineStr">
        <is>
          <t>New AI cover replaces placeholder; success toast; art persists on reload</t>
        </is>
      </c>
      <c r="K18" s="5" t="inlineStr"/>
      <c r="L18" s="7" t="inlineStr">
        <is>
          <t>Not Run</t>
        </is>
      </c>
      <c r="M18" s="5" t="inlineStr"/>
      <c r="N18" s="5" t="inlineStr"/>
      <c r="O18" s="5" t="inlineStr"/>
    </row>
    <row r="19">
      <c r="A19" s="5" t="inlineStr">
        <is>
          <t>SA-06</t>
        </is>
      </c>
      <c r="B19" s="5" t="inlineStr">
        <is>
          <t>Station Artwork</t>
        </is>
      </c>
      <c r="C19" s="5" t="inlineStr">
        <is>
          <t>Owner uploads logo</t>
        </is>
      </c>
      <c r="D19" s="8" t="inlineStr">
        <is>
          <t>P1</t>
        </is>
      </c>
      <c r="E19" s="7" t="inlineStr">
        <is>
          <t>Web</t>
        </is>
      </c>
      <c r="F19" s="7" t="inlineStr">
        <is>
          <t>Functional</t>
        </is>
      </c>
      <c r="G19" s="5" t="inlineStr">
        <is>
          <t>Logged in as admin/owner</t>
        </is>
      </c>
      <c r="H19" s="5" t="inlineStr">
        <is>
          <t>1. Click 'Upload logo'
2. Choose a JPG/PNG/WebP &lt; 5MB</t>
        </is>
      </c>
      <c r="I19" s="5" t="inlineStr">
        <is>
          <t>sample logo</t>
        </is>
      </c>
      <c r="J19" s="5" t="inlineStr">
        <is>
          <t>Uploaded image becomes the station art (art_source='owner'); &gt;5MB or wrong type rejected with a clear error</t>
        </is>
      </c>
      <c r="K19" s="5" t="inlineStr"/>
      <c r="L19" s="7" t="inlineStr">
        <is>
          <t>Not Run</t>
        </is>
      </c>
      <c r="M19" s="5" t="inlineStr"/>
      <c r="N19" s="5" t="inlineStr"/>
      <c r="O19" s="5" t="inlineStr"/>
    </row>
    <row r="20">
      <c r="A20" s="5" t="inlineStr">
        <is>
          <t>SA-07</t>
        </is>
      </c>
      <c r="B20" s="5" t="inlineStr">
        <is>
          <t>Station Artwork</t>
        </is>
      </c>
      <c r="C20" s="5" t="inlineStr">
        <is>
          <t>Owner resets art</t>
        </is>
      </c>
      <c r="D20" s="9" t="inlineStr">
        <is>
          <t>P2</t>
        </is>
      </c>
      <c r="E20" s="7" t="inlineStr">
        <is>
          <t>Web</t>
        </is>
      </c>
      <c r="F20" s="7" t="inlineStr">
        <is>
          <t>Functional</t>
        </is>
      </c>
      <c r="G20" s="5" t="inlineStr">
        <is>
          <t>Owner station has custom art</t>
        </is>
      </c>
      <c r="H20" s="5" t="inlineStr">
        <is>
          <t>1. Click 'Reset'</t>
        </is>
      </c>
      <c r="I20" s="5" t="inlineStr">
        <is>
          <t>-</t>
        </is>
      </c>
      <c r="J20" s="5" t="inlineStr">
        <is>
          <t>Art reverts to default/placeholder; can be regenerated again</t>
        </is>
      </c>
      <c r="K20" s="5" t="inlineStr"/>
      <c r="L20" s="7" t="inlineStr">
        <is>
          <t>Not Run</t>
        </is>
      </c>
      <c r="M20" s="5" t="inlineStr"/>
      <c r="N20" s="5" t="inlineStr"/>
      <c r="O20" s="5" t="inlineStr"/>
    </row>
    <row r="21">
      <c r="A21" s="5" t="inlineStr">
        <is>
          <t>SA-08</t>
        </is>
      </c>
      <c r="B21" s="5" t="inlineStr">
        <is>
          <t>Station Artwork</t>
        </is>
      </c>
      <c r="C21" s="5" t="inlineStr">
        <is>
          <t>Flagship shelf self-heal</t>
        </is>
      </c>
      <c r="D21" s="8" t="inlineStr">
        <is>
          <t>P1</t>
        </is>
      </c>
      <c r="E21" s="7" t="inlineStr">
        <is>
          <t>Web</t>
        </is>
      </c>
      <c r="F21" s="7" t="inlineStr">
        <is>
          <t>Functional</t>
        </is>
      </c>
      <c r="G21" s="5" t="inlineStr">
        <is>
          <t>Flagship missing art (fresh deploy)</t>
        </is>
      </c>
      <c r="H21" s="5" t="inlineStr">
        <is>
          <t>1. Load Home
2. Wait ~18s and refresh</t>
        </is>
      </c>
      <c r="I21" s="5" t="inlineStr">
        <is>
          <t>-</t>
        </is>
      </c>
      <c r="J21" s="5" t="inlineStr">
        <is>
          <t>Flagship tiles without art auto-generate AI covers and appear; no blank flagship tiles</t>
        </is>
      </c>
      <c r="K21" s="5" t="inlineStr"/>
      <c r="L21" s="7" t="inlineStr">
        <is>
          <t>Not Run</t>
        </is>
      </c>
      <c r="M21" s="5" t="inlineStr"/>
      <c r="N21" s="5" t="inlineStr"/>
      <c r="O21" s="5" t="inlineStr"/>
    </row>
    <row r="22">
      <c r="A22" s="5" t="inlineStr">
        <is>
          <t>C-01</t>
        </is>
      </c>
      <c r="B22" s="5" t="inlineStr">
        <is>
          <t>Clips</t>
        </is>
      </c>
      <c r="C22" s="5" t="inlineStr">
        <is>
          <t>Clips shelf renders</t>
        </is>
      </c>
      <c r="D22" s="8" t="inlineStr">
        <is>
          <t>P1</t>
        </is>
      </c>
      <c r="E22" s="7" t="inlineStr">
        <is>
          <t>Both</t>
        </is>
      </c>
      <c r="F22" s="7" t="inlineStr">
        <is>
          <t>Functional</t>
        </is>
      </c>
      <c r="G22" s="5" t="inlineStr">
        <is>
          <t>Logged in</t>
        </is>
      </c>
      <c r="H22" s="5" t="inlineStr">
        <is>
          <t>1. Scroll to 'Clips' shelf on Home</t>
        </is>
      </c>
      <c r="I22" s="5" t="inlineStr">
        <is>
          <t>-</t>
        </is>
      </c>
      <c r="J22" s="5" t="inlineStr">
        <is>
          <t>Vertical 9:16 clip cards render with artwork; shelf hidden if empty</t>
        </is>
      </c>
      <c r="K22" s="5" t="inlineStr"/>
      <c r="L22" s="7" t="inlineStr">
        <is>
          <t>Not Run</t>
        </is>
      </c>
      <c r="M22" s="5" t="inlineStr"/>
      <c r="N22" s="5" t="inlineStr"/>
      <c r="O22" s="5" t="inlineStr"/>
    </row>
    <row r="23">
      <c r="A23" s="5" t="inlineStr">
        <is>
          <t>C-02</t>
        </is>
      </c>
      <c r="B23" s="5" t="inlineStr">
        <is>
          <t>Clips</t>
        </is>
      </c>
      <c r="C23" s="5" t="inlineStr">
        <is>
          <t>Sponsored clip is first + badged</t>
        </is>
      </c>
      <c r="D23" s="6" t="inlineStr">
        <is>
          <t>P0</t>
        </is>
      </c>
      <c r="E23" s="7" t="inlineStr">
        <is>
          <t>Both</t>
        </is>
      </c>
      <c r="F23" s="7" t="inlineStr">
        <is>
          <t>Functional</t>
        </is>
      </c>
      <c r="G23" s="5" t="inlineStr">
        <is>
          <t>Active advertiser campaign exists</t>
        </is>
      </c>
      <c r="H23" s="5" t="inlineStr">
        <is>
          <t>1. View Clips shelf</t>
        </is>
      </c>
      <c r="I23" s="5" t="inlineStr">
        <is>
          <t>-</t>
        </is>
      </c>
      <c r="J23" s="5" t="inlineStr">
        <is>
          <t>First clip shows a 'SPONSORED' badge + branded cover image (not a plain gradient)</t>
        </is>
      </c>
      <c r="K23" s="5" t="inlineStr"/>
      <c r="L23" s="7" t="inlineStr">
        <is>
          <t>Not Run</t>
        </is>
      </c>
      <c r="M23" s="5" t="inlineStr"/>
      <c r="N23" s="5" t="inlineStr"/>
      <c r="O23" s="5" t="inlineStr"/>
    </row>
    <row r="24">
      <c r="A24" s="5" t="inlineStr">
        <is>
          <t>C-03</t>
        </is>
      </c>
      <c r="B24" s="5" t="inlineStr">
        <is>
          <t>Clips</t>
        </is>
      </c>
      <c r="C24" s="5" t="inlineStr">
        <is>
          <t>Tap-to-Claim issues code</t>
        </is>
      </c>
      <c r="D24" s="6" t="inlineStr">
        <is>
          <t>P0</t>
        </is>
      </c>
      <c r="E24" s="7" t="inlineStr">
        <is>
          <t>Web</t>
        </is>
      </c>
      <c r="F24" s="7" t="inlineStr">
        <is>
          <t>Functional</t>
        </is>
      </c>
      <c r="G24" s="5" t="inlineStr">
        <is>
          <t>Logged in; sponsored clip present</t>
        </is>
      </c>
      <c r="H24" s="5" t="inlineStr">
        <is>
          <t>1. Tap the sponsored clip
2. In the sheet, tap 'Claim this offer'</t>
        </is>
      </c>
      <c r="I24" s="5" t="inlineStr">
        <is>
          <t>-</t>
        </is>
      </c>
      <c r="J24" s="5" t="inlineStr">
        <is>
          <t>Claim sheet opens; on claim a redemption code (RL-XXXXXX) + success state shown</t>
        </is>
      </c>
      <c r="K24" s="5" t="inlineStr"/>
      <c r="L24" s="7" t="inlineStr">
        <is>
          <t>Not Run</t>
        </is>
      </c>
      <c r="M24" s="5" t="inlineStr"/>
      <c r="N24" s="5" t="inlineStr"/>
      <c r="O24" s="5" t="inlineStr"/>
    </row>
    <row r="25">
      <c r="A25" s="5" t="inlineStr">
        <is>
          <t>C-04</t>
        </is>
      </c>
      <c r="B25" s="5" t="inlineStr">
        <is>
          <t>Clips</t>
        </is>
      </c>
      <c r="C25" s="5" t="inlineStr">
        <is>
          <t>Claim is idempotent</t>
        </is>
      </c>
      <c r="D25" s="8" t="inlineStr">
        <is>
          <t>P1</t>
        </is>
      </c>
      <c r="E25" s="7" t="inlineStr">
        <is>
          <t>Web</t>
        </is>
      </c>
      <c r="F25" s="7" t="inlineStr">
        <is>
          <t>Functional</t>
        </is>
      </c>
      <c r="G25" s="5" t="inlineStr">
        <is>
          <t>User already claimed this offer</t>
        </is>
      </c>
      <c r="H25" s="5" t="inlineStr">
        <is>
          <t>1. Tap sponsored clip again
2. Claim</t>
        </is>
      </c>
      <c r="I25" s="5" t="inlineStr">
        <is>
          <t>same user + campaign</t>
        </is>
      </c>
      <c r="J25" s="5" t="inlineStr">
        <is>
          <t>Same code returned; 'Already claimed' state; no duplicate credit</t>
        </is>
      </c>
      <c r="K25" s="5" t="inlineStr"/>
      <c r="L25" s="7" t="inlineStr">
        <is>
          <t>Not Run</t>
        </is>
      </c>
      <c r="M25" s="5" t="inlineStr"/>
      <c r="N25" s="5" t="inlineStr"/>
      <c r="O25" s="5" t="inlineStr"/>
    </row>
    <row r="26">
      <c r="A26" s="5" t="inlineStr">
        <is>
          <t>C-05</t>
        </is>
      </c>
      <c r="B26" s="5" t="inlineStr">
        <is>
          <t>Clips</t>
        </is>
      </c>
      <c r="C26" s="5" t="inlineStr">
        <is>
          <t>Station clip opens station</t>
        </is>
      </c>
      <c r="D26" s="9" t="inlineStr">
        <is>
          <t>P2</t>
        </is>
      </c>
      <c r="E26" s="7" t="inlineStr">
        <is>
          <t>Both</t>
        </is>
      </c>
      <c r="F26" s="7" t="inlineStr">
        <is>
          <t>Functional</t>
        </is>
      </c>
      <c r="G26" s="5" t="inlineStr">
        <is>
          <t>Clips shelf has station clips</t>
        </is>
      </c>
      <c r="H26" s="5" t="inlineStr">
        <is>
          <t>1. Tap a non-sponsored clip</t>
        </is>
      </c>
      <c r="I26" s="5" t="inlineStr">
        <is>
          <t>-</t>
        </is>
      </c>
      <c r="J26" s="5" t="inlineStr">
        <is>
          <t>Navigates to the station / radio player</t>
        </is>
      </c>
      <c r="K26" s="5" t="inlineStr"/>
      <c r="L26" s="7" t="inlineStr">
        <is>
          <t>Not Run</t>
        </is>
      </c>
      <c r="M26" s="5" t="inlineStr"/>
      <c r="N26" s="5" t="inlineStr"/>
      <c r="O26" s="5" t="inlineStr"/>
    </row>
    <row r="27">
      <c r="A27" s="5" t="inlineStr">
        <is>
          <t>S&amp;-01</t>
        </is>
      </c>
      <c r="B27" s="5" t="inlineStr">
        <is>
          <t>Shop &amp; Eat</t>
        </is>
      </c>
      <c r="C27" s="5" t="inlineStr">
        <is>
          <t>Category chips filter venues</t>
        </is>
      </c>
      <c r="D27" s="6" t="inlineStr">
        <is>
          <t>P0</t>
        </is>
      </c>
      <c r="E27" s="7" t="inlineStr">
        <is>
          <t>Web</t>
        </is>
      </c>
      <c r="F27" s="7" t="inlineStr">
        <is>
          <t>Functional</t>
        </is>
      </c>
      <c r="G27" s="5" t="inlineStr">
        <is>
          <t>On Home with venues</t>
        </is>
      </c>
      <c r="H27" s="5" t="inlineStr">
        <is>
          <t>1. Click 'Eat' chip
2. Then 'Salons', 'Fitness', 'Shops'</t>
        </is>
      </c>
      <c r="I27" s="5" t="inlineStr">
        <is>
          <t>-</t>
        </is>
      </c>
      <c r="J27" s="5" t="inlineStr">
        <is>
          <t>Venue shelf filters to only that category each time; counts match</t>
        </is>
      </c>
      <c r="K27" s="5" t="inlineStr"/>
      <c r="L27" s="7" t="inlineStr">
        <is>
          <t>Not Run</t>
        </is>
      </c>
      <c r="M27" s="5" t="inlineStr"/>
      <c r="N27" s="5" t="inlineStr"/>
      <c r="O27" s="5" t="inlineStr"/>
    </row>
    <row r="28">
      <c r="A28" s="5" t="inlineStr">
        <is>
          <t>S&amp;-02</t>
        </is>
      </c>
      <c r="B28" s="5" t="inlineStr">
        <is>
          <t>Shop &amp; Eat</t>
        </is>
      </c>
      <c r="C28" s="5" t="inlineStr">
        <is>
          <t>Sponsored venue marked</t>
        </is>
      </c>
      <c r="D28" s="6" t="inlineStr">
        <is>
          <t>P0</t>
        </is>
      </c>
      <c r="E28" s="7" t="inlineStr">
        <is>
          <t>Web</t>
        </is>
      </c>
      <c r="F28" s="7" t="inlineStr">
        <is>
          <t>Functional</t>
        </is>
      </c>
      <c r="G28" s="5" t="inlineStr">
        <is>
          <t>A venue has an active promotion</t>
        </is>
      </c>
      <c r="H28" s="5" t="inlineStr">
        <is>
          <t>1. View venue shelf</t>
        </is>
      </c>
      <c r="I28" s="5" t="inlineStr">
        <is>
          <t>-</t>
        </is>
      </c>
      <c r="J28" s="5" t="inlineStr">
        <is>
          <t>First card of a promoted set shows a 'Sponsored' pill; ordering is sponsored-first</t>
        </is>
      </c>
      <c r="K28" s="5" t="inlineStr"/>
      <c r="L28" s="7" t="inlineStr">
        <is>
          <t>Not Run</t>
        </is>
      </c>
      <c r="M28" s="5" t="inlineStr"/>
      <c r="N28" s="5" t="inlineStr"/>
      <c r="O28" s="5" t="inlineStr"/>
    </row>
    <row r="29">
      <c r="A29" s="5" t="inlineStr">
        <is>
          <t>S&amp;-03</t>
        </is>
      </c>
      <c r="B29" s="5" t="inlineStr">
        <is>
          <t>Shop &amp; Eat</t>
        </is>
      </c>
      <c r="C29" s="5" t="inlineStr">
        <is>
          <t>Market-scoped venues</t>
        </is>
      </c>
      <c r="D29" s="8" t="inlineStr">
        <is>
          <t>P1</t>
        </is>
      </c>
      <c r="E29" s="7" t="inlineStr">
        <is>
          <t>Both</t>
        </is>
      </c>
      <c r="F29" s="7" t="inlineStr">
        <is>
          <t>Functional</t>
        </is>
      </c>
      <c r="G29" s="5" t="inlineStr">
        <is>
          <t>User geo resolves to Dallas</t>
        </is>
      </c>
      <c r="H29" s="5" t="inlineStr">
        <is>
          <t>1. Open Home venue shelf</t>
        </is>
      </c>
      <c r="I29" s="5" t="inlineStr">
        <is>
          <t>Dallas-IP user</t>
        </is>
      </c>
      <c r="J29" s="5" t="inlineStr">
        <is>
          <t>Shows Dallas venues (Smoke &amp; Oak BBQ, etc.); Dubai user sees Dubai venues; never empty</t>
        </is>
      </c>
      <c r="K29" s="5" t="inlineStr"/>
      <c r="L29" s="7" t="inlineStr">
        <is>
          <t>Not Run</t>
        </is>
      </c>
      <c r="M29" s="5" t="inlineStr"/>
      <c r="N29" s="5" t="inlineStr"/>
      <c r="O29" s="5" t="inlineStr"/>
    </row>
    <row r="30">
      <c r="A30" s="5" t="inlineStr">
        <is>
          <t>S&amp;-04</t>
        </is>
      </c>
      <c r="B30" s="5" t="inlineStr">
        <is>
          <t>Shop &amp; Eat</t>
        </is>
      </c>
      <c r="C30" s="5" t="inlineStr">
        <is>
          <t>Sell CTA at bottom</t>
        </is>
      </c>
      <c r="D30" s="9" t="inlineStr">
        <is>
          <t>P2</t>
        </is>
      </c>
      <c r="E30" s="7" t="inlineStr">
        <is>
          <t>Web</t>
        </is>
      </c>
      <c r="F30" s="7" t="inlineStr">
        <is>
          <t>Functional</t>
        </is>
      </c>
      <c r="G30" s="5" t="inlineStr">
        <is>
          <t>On /shop</t>
        </is>
      </c>
      <c r="H30" s="5" t="inlineStr">
        <is>
          <t>1. Scroll to bottom of Shop page</t>
        </is>
      </c>
      <c r="I30" s="5" t="inlineStr">
        <is>
          <t>-</t>
        </is>
      </c>
      <c r="J30" s="5" t="inlineStr">
        <is>
          <t>'Sell on RadioLife' / 'Merchant Dashboard' banner appears at the BOTTOM, not between categories and content</t>
        </is>
      </c>
      <c r="K30" s="5" t="inlineStr"/>
      <c r="L30" s="7" t="inlineStr">
        <is>
          <t>Not Run</t>
        </is>
      </c>
      <c r="M30" s="5" t="inlineStr"/>
      <c r="N30" s="5" t="inlineStr"/>
      <c r="O30" s="5" t="inlineStr"/>
    </row>
    <row r="31">
      <c r="A31" s="5" t="inlineStr">
        <is>
          <t>S&amp;-05</t>
        </is>
      </c>
      <c r="B31" s="5" t="inlineStr">
        <is>
          <t>Shop &amp; Eat</t>
        </is>
      </c>
      <c r="C31" s="5" t="inlineStr">
        <is>
          <t>Order-by-chat floating capsule</t>
        </is>
      </c>
      <c r="D31" s="9" t="inlineStr">
        <is>
          <t>P2</t>
        </is>
      </c>
      <c r="E31" s="7" t="inlineStr">
        <is>
          <t>Web</t>
        </is>
      </c>
      <c r="F31" s="7" t="inlineStr">
        <is>
          <t>Functional</t>
        </is>
      </c>
      <c r="G31" s="5" t="inlineStr">
        <is>
          <t>On /shop</t>
        </is>
      </c>
      <c r="H31" s="5" t="inlineStr">
        <is>
          <t>1. Observe right side of screen
2. Tap the capsule</t>
        </is>
      </c>
      <c r="I31" s="5" t="inlineStr">
        <is>
          <t>-</t>
        </is>
      </c>
      <c r="J31" s="5" t="inlineStr">
        <is>
          <t>'Order by chat' floating capsule pinned bottom-right; opens the AI concierge</t>
        </is>
      </c>
      <c r="K31" s="5" t="inlineStr"/>
      <c r="L31" s="7" t="inlineStr">
        <is>
          <t>Not Run</t>
        </is>
      </c>
      <c r="M31" s="5" t="inlineStr"/>
      <c r="N31" s="5" t="inlineStr"/>
      <c r="O31" s="5" t="inlineStr"/>
    </row>
    <row r="32">
      <c r="A32" s="5" t="inlineStr">
        <is>
          <t>S&amp;-06</t>
        </is>
      </c>
      <c r="B32" s="5" t="inlineStr">
        <is>
          <t>Shop &amp; Eat</t>
        </is>
      </c>
      <c r="C32" s="5" t="inlineStr">
        <is>
          <t>Quick-Buy sheet</t>
        </is>
      </c>
      <c r="D32" s="9" t="inlineStr">
        <is>
          <t>P2</t>
        </is>
      </c>
      <c r="E32" s="7" t="inlineStr">
        <is>
          <t>Web</t>
        </is>
      </c>
      <c r="F32" s="7" t="inlineStr">
        <is>
          <t>Functional</t>
        </is>
      </c>
      <c r="G32" s="5" t="inlineStr">
        <is>
          <t>On a shopping sub-category</t>
        </is>
      </c>
      <c r="H32" s="5" t="inlineStr">
        <is>
          <t>1. Tap a product
2. Use Quick-Buy</t>
        </is>
      </c>
      <c r="I32" s="5" t="inlineStr">
        <is>
          <t>-</t>
        </is>
      </c>
      <c r="J32" s="5" t="inlineStr">
        <is>
          <t>Quick-Buy sheet opens; memberships/discounts applied; add to cart works</t>
        </is>
      </c>
      <c r="K32" s="5" t="inlineStr"/>
      <c r="L32" s="7" t="inlineStr">
        <is>
          <t>Not Run</t>
        </is>
      </c>
      <c r="M32" s="5" t="inlineStr"/>
      <c r="N32" s="5" t="inlineStr"/>
      <c r="O32" s="5" t="inlineStr"/>
    </row>
    <row r="33">
      <c r="A33" s="5" t="inlineStr">
        <is>
          <t>B&amp;-01</t>
        </is>
      </c>
      <c r="B33" s="5" t="inlineStr">
        <is>
          <t>BigPoints &amp; Wallet</t>
        </is>
      </c>
      <c r="C33" s="5" t="inlineStr">
        <is>
          <t>Currency shows BigPoints</t>
        </is>
      </c>
      <c r="D33" s="8" t="inlineStr">
        <is>
          <t>P1</t>
        </is>
      </c>
      <c r="E33" s="7" t="inlineStr">
        <is>
          <t>Both</t>
        </is>
      </c>
      <c r="F33" s="7" t="inlineStr">
        <is>
          <t>Regression</t>
        </is>
      </c>
      <c r="G33" s="5" t="inlineStr">
        <is>
          <t>Anywhere currency is shown</t>
        </is>
      </c>
      <c r="H33" s="5" t="inlineStr">
        <is>
          <t>1. Check wallet, earn labels, offers</t>
        </is>
      </c>
      <c r="I33" s="5" t="inlineStr">
        <is>
          <t>-</t>
        </is>
      </c>
      <c r="J33" s="5" t="inlineStr">
        <is>
          <t>All currency reads 'BigPoints' — NO 'BigCoin' or 'BC' anywhere</t>
        </is>
      </c>
      <c r="K33" s="5" t="inlineStr"/>
      <c r="L33" s="7" t="inlineStr">
        <is>
          <t>Not Run</t>
        </is>
      </c>
      <c r="M33" s="5" t="inlineStr"/>
      <c r="N33" s="5" t="inlineStr"/>
      <c r="O33" s="5" t="inlineStr"/>
    </row>
    <row r="34">
      <c r="A34" s="5" t="inlineStr">
        <is>
          <t>B&amp;-02</t>
        </is>
      </c>
      <c r="B34" s="5" t="inlineStr">
        <is>
          <t>BigPoints &amp; Wallet</t>
        </is>
      </c>
      <c r="C34" s="5" t="inlineStr">
        <is>
          <t>Wallet balance</t>
        </is>
      </c>
      <c r="D34" s="8" t="inlineStr">
        <is>
          <t>P1</t>
        </is>
      </c>
      <c r="E34" s="7" t="inlineStr">
        <is>
          <t>Both</t>
        </is>
      </c>
      <c r="F34" s="7" t="inlineStr">
        <is>
          <t>Functional</t>
        </is>
      </c>
      <c r="G34" s="5" t="inlineStr">
        <is>
          <t>Logged in</t>
        </is>
      </c>
      <c r="H34" s="5" t="inlineStr">
        <is>
          <t>1. Open Wallet</t>
        </is>
      </c>
      <c r="I34" s="5" t="inlineStr">
        <is>
          <t>-</t>
        </is>
      </c>
      <c r="J34" s="5" t="inlineStr">
        <is>
          <t>Balance + tier shown; matches points pill in header</t>
        </is>
      </c>
      <c r="K34" s="5" t="inlineStr"/>
      <c r="L34" s="7" t="inlineStr">
        <is>
          <t>Not Run</t>
        </is>
      </c>
      <c r="M34" s="5" t="inlineStr"/>
      <c r="N34" s="5" t="inlineStr"/>
      <c r="O34" s="5" t="inlineStr"/>
    </row>
    <row r="35">
      <c r="A35" s="5" t="inlineStr">
        <is>
          <t>B&amp;-03</t>
        </is>
      </c>
      <c r="B35" s="5" t="inlineStr">
        <is>
          <t>BigPoints &amp; Wallet</t>
        </is>
      </c>
      <c r="C35" s="5" t="inlineStr">
        <is>
          <t>Earn from action</t>
        </is>
      </c>
      <c r="D35" s="8" t="inlineStr">
        <is>
          <t>P1</t>
        </is>
      </c>
      <c r="E35" s="7" t="inlineStr">
        <is>
          <t>Both</t>
        </is>
      </c>
      <c r="F35" s="7" t="inlineStr">
        <is>
          <t>Functional</t>
        </is>
      </c>
      <c r="G35" s="5" t="inlineStr">
        <is>
          <t>Logged in</t>
        </is>
      </c>
      <c r="H35" s="5" t="inlineStr">
        <is>
          <t>1. Complete an earn action (e.g. claim / play)
2. Check wallet</t>
        </is>
      </c>
      <c r="I35" s="5" t="inlineStr">
        <is>
          <t>-</t>
        </is>
      </c>
      <c r="J35" s="5" t="inlineStr">
        <is>
          <t>Balance increases by the expected amount; transaction logged</t>
        </is>
      </c>
      <c r="K35" s="5" t="inlineStr"/>
      <c r="L35" s="7" t="inlineStr">
        <is>
          <t>Not Run</t>
        </is>
      </c>
      <c r="M35" s="5" t="inlineStr"/>
      <c r="N35" s="5" t="inlineStr"/>
      <c r="O35" s="5" t="inlineStr"/>
    </row>
    <row r="36">
      <c r="A36" s="5" t="inlineStr">
        <is>
          <t>OO-01</t>
        </is>
      </c>
      <c r="B36" s="5" t="inlineStr">
        <is>
          <t>On-Air Offers</t>
        </is>
      </c>
      <c r="C36" s="5" t="inlineStr">
        <is>
          <t>Offer card while playing</t>
        </is>
      </c>
      <c r="D36" s="8" t="inlineStr">
        <is>
          <t>P1</t>
        </is>
      </c>
      <c r="E36" s="7" t="inlineStr">
        <is>
          <t>Web</t>
        </is>
      </c>
      <c r="F36" s="7" t="inlineStr">
        <is>
          <t>Functional</t>
        </is>
      </c>
      <c r="G36" s="5" t="inlineStr">
        <is>
          <t>A station with an active offer is playing</t>
        </is>
      </c>
      <c r="H36" s="5" t="inlineStr">
        <is>
          <t>1. Play the station
2. Observe card above player</t>
        </is>
      </c>
      <c r="I36" s="5" t="inlineStr">
        <is>
          <t>-</t>
        </is>
      </c>
      <c r="J36" s="5" t="inlineStr">
        <is>
          <t>On-air offer card shows the relevant merchant offer synced to the station</t>
        </is>
      </c>
      <c r="K36" s="5" t="inlineStr"/>
      <c r="L36" s="7" t="inlineStr">
        <is>
          <t>Not Run</t>
        </is>
      </c>
      <c r="M36" s="5" t="inlineStr"/>
      <c r="N36" s="5" t="inlineStr"/>
      <c r="O36" s="5" t="inlineStr"/>
    </row>
    <row r="37">
      <c r="A37" s="5" t="inlineStr">
        <is>
          <t>OO-02</t>
        </is>
      </c>
      <c r="B37" s="5" t="inlineStr">
        <is>
          <t>On-Air Offers</t>
        </is>
      </c>
      <c r="C37" s="5" t="inlineStr">
        <is>
          <t>Claim from on-air card</t>
        </is>
      </c>
      <c r="D37" s="9" t="inlineStr">
        <is>
          <t>P2</t>
        </is>
      </c>
      <c r="E37" s="7" t="inlineStr">
        <is>
          <t>Web</t>
        </is>
      </c>
      <c r="F37" s="7" t="inlineStr">
        <is>
          <t>Functional</t>
        </is>
      </c>
      <c r="G37" s="5" t="inlineStr">
        <is>
          <t>On-air offer card visible</t>
        </is>
      </c>
      <c r="H37" s="5" t="inlineStr">
        <is>
          <t>1. Tap the offer's claim CTA</t>
        </is>
      </c>
      <c r="I37" s="5" t="inlineStr">
        <is>
          <t>-</t>
        </is>
      </c>
      <c r="J37" s="5" t="inlineStr">
        <is>
          <t>Routes to the offer/claim; no dead-end</t>
        </is>
      </c>
      <c r="K37" s="5" t="inlineStr"/>
      <c r="L37" s="7" t="inlineStr">
        <is>
          <t>Not Run</t>
        </is>
      </c>
      <c r="M37" s="5" t="inlineStr"/>
      <c r="N37" s="5" t="inlineStr"/>
      <c r="O37" s="5" t="inlineStr"/>
    </row>
    <row r="38">
      <c r="A38" s="5" t="inlineStr">
        <is>
          <t>G--01</t>
        </is>
      </c>
      <c r="B38" s="5" t="inlineStr">
        <is>
          <t>Games - Predict &amp; Win</t>
        </is>
      </c>
      <c r="C38" s="5" t="inlineStr">
        <is>
          <t>Predictions list loads</t>
        </is>
      </c>
      <c r="D38" s="8" t="inlineStr">
        <is>
          <t>P1</t>
        </is>
      </c>
      <c r="E38" s="7" t="inlineStr">
        <is>
          <t>Web</t>
        </is>
      </c>
      <c r="F38" s="7" t="inlineStr">
        <is>
          <t>Functional</t>
        </is>
      </c>
      <c r="G38" s="5" t="inlineStr">
        <is>
          <t>Logged in</t>
        </is>
      </c>
      <c r="H38" s="5" t="inlineStr">
        <is>
          <t>1. Open Predict &amp; Win (/predict-win)</t>
        </is>
      </c>
      <c r="I38" s="5" t="inlineStr">
        <is>
          <t>-</t>
        </is>
      </c>
      <c r="J38" s="5" t="inlineStr">
        <is>
          <t>Curated prediction markets load; categories filterable; no junk/unapproved questions</t>
        </is>
      </c>
      <c r="K38" s="5" t="inlineStr"/>
      <c r="L38" s="7" t="inlineStr">
        <is>
          <t>Not Run</t>
        </is>
      </c>
      <c r="M38" s="5" t="inlineStr"/>
      <c r="N38" s="5" t="inlineStr"/>
      <c r="O38" s="5" t="inlineStr"/>
    </row>
    <row r="39">
      <c r="A39" s="5" t="inlineStr">
        <is>
          <t>G--02</t>
        </is>
      </c>
      <c r="B39" s="5" t="inlineStr">
        <is>
          <t>Games - Predict &amp; Win</t>
        </is>
      </c>
      <c r="C39" s="5" t="inlineStr">
        <is>
          <t>Make a pick</t>
        </is>
      </c>
      <c r="D39" s="8" t="inlineStr">
        <is>
          <t>P1</t>
        </is>
      </c>
      <c r="E39" s="7" t="inlineStr">
        <is>
          <t>Web</t>
        </is>
      </c>
      <c r="F39" s="7" t="inlineStr">
        <is>
          <t>Functional</t>
        </is>
      </c>
      <c r="G39" s="5" t="inlineStr">
        <is>
          <t>On a prediction</t>
        </is>
      </c>
      <c r="H39" s="5" t="inlineStr">
        <is>
          <t>1. Select an option
2. Submit</t>
        </is>
      </c>
      <c r="I39" s="5" t="inlineStr">
        <is>
          <t>-</t>
        </is>
      </c>
      <c r="J39" s="5" t="inlineStr">
        <is>
          <t>Pick locked in; status shows 'Locked in'; reflected in My Picks</t>
        </is>
      </c>
      <c r="K39" s="5" t="inlineStr"/>
      <c r="L39" s="7" t="inlineStr">
        <is>
          <t>Not Run</t>
        </is>
      </c>
      <c r="M39" s="5" t="inlineStr"/>
      <c r="N39" s="5" t="inlineStr"/>
      <c r="O39" s="5" t="inlineStr"/>
    </row>
    <row r="40">
      <c r="A40" s="5" t="inlineStr">
        <is>
          <t>G--03</t>
        </is>
      </c>
      <c r="B40" s="5" t="inlineStr">
        <is>
          <t>Games - Trivia</t>
        </is>
      </c>
      <c r="C40" s="5" t="inlineStr">
        <is>
          <t>Trivia categories load</t>
        </is>
      </c>
      <c r="D40" s="8" t="inlineStr">
        <is>
          <t>P1</t>
        </is>
      </c>
      <c r="E40" s="7" t="inlineStr">
        <is>
          <t>Web</t>
        </is>
      </c>
      <c r="F40" s="7" t="inlineStr">
        <is>
          <t>Functional</t>
        </is>
      </c>
      <c r="G40" s="5" t="inlineStr">
        <is>
          <t>Logged in</t>
        </is>
      </c>
      <c r="H40" s="5" t="inlineStr">
        <is>
          <t>1. Open Trivia (/trivia)</t>
        </is>
      </c>
      <c r="I40" s="5" t="inlineStr">
        <is>
          <t>-</t>
        </is>
      </c>
      <c r="J40" s="5" t="inlineStr">
        <is>
          <t>City-aware categories shown (e.g. DFW/your city); header shows resolved market</t>
        </is>
      </c>
      <c r="K40" s="5" t="inlineStr"/>
      <c r="L40" s="7" t="inlineStr">
        <is>
          <t>Not Run</t>
        </is>
      </c>
      <c r="M40" s="5" t="inlineStr"/>
      <c r="N40" s="5" t="inlineStr"/>
      <c r="O40" s="5" t="inlineStr"/>
    </row>
    <row r="41">
      <c r="A41" s="5" t="inlineStr">
        <is>
          <t>G-01</t>
        </is>
      </c>
      <c r="B41" s="5" t="inlineStr">
        <is>
          <t>Games</t>
        </is>
      </c>
      <c r="C41" s="5" t="inlineStr">
        <is>
          <t>Spin &amp; Win / Play hub</t>
        </is>
      </c>
      <c r="D41" s="9" t="inlineStr">
        <is>
          <t>P2</t>
        </is>
      </c>
      <c r="E41" s="7" t="inlineStr">
        <is>
          <t>Both</t>
        </is>
      </c>
      <c r="F41" s="7" t="inlineStr">
        <is>
          <t>Functional</t>
        </is>
      </c>
      <c r="G41" s="5" t="inlineStr">
        <is>
          <t>Logged in</t>
        </is>
      </c>
      <c r="H41" s="5" t="inlineStr">
        <is>
          <t>1. Open Play/Games</t>
        </is>
      </c>
      <c r="I41" s="5" t="inlineStr">
        <is>
          <t>-</t>
        </is>
      </c>
      <c r="J41" s="5" t="inlineStr">
        <is>
          <t>Live games listed; can start a game; earns BigPoints</t>
        </is>
      </c>
      <c r="K41" s="5" t="inlineStr"/>
      <c r="L41" s="7" t="inlineStr">
        <is>
          <t>Not Run</t>
        </is>
      </c>
      <c r="M41" s="5" t="inlineStr"/>
      <c r="N41" s="5" t="inlineStr"/>
      <c r="O41" s="5" t="inlineStr"/>
    </row>
    <row r="42">
      <c r="A42" s="5" t="inlineStr">
        <is>
          <t>N-01</t>
        </is>
      </c>
      <c r="B42" s="5" t="inlineStr">
        <is>
          <t>News</t>
        </is>
      </c>
      <c r="C42" s="5" t="inlineStr">
        <is>
          <t>City-aware headlines</t>
        </is>
      </c>
      <c r="D42" s="8" t="inlineStr">
        <is>
          <t>P1</t>
        </is>
      </c>
      <c r="E42" s="7" t="inlineStr">
        <is>
          <t>Both</t>
        </is>
      </c>
      <c r="F42" s="7" t="inlineStr">
        <is>
          <t>Functional</t>
        </is>
      </c>
      <c r="G42" s="5" t="inlineStr">
        <is>
          <t>Geo resolved</t>
        </is>
      </c>
      <c r="H42" s="5" t="inlineStr">
        <is>
          <t>1. Open Home news shelf / News tab</t>
        </is>
      </c>
      <c r="I42" s="5" t="inlineStr">
        <is>
          <t>Dallas-IP user</t>
        </is>
      </c>
      <c r="J42" s="5" t="inlineStr">
        <is>
          <t>Headlines request passes the detected market; feed reflects the city where possible</t>
        </is>
      </c>
      <c r="K42" s="5" t="inlineStr"/>
      <c r="L42" s="7" t="inlineStr">
        <is>
          <t>Not Run</t>
        </is>
      </c>
      <c r="M42" s="5" t="inlineStr"/>
      <c r="N42" s="5" t="inlineStr"/>
      <c r="O42" s="5" t="inlineStr"/>
    </row>
    <row r="43">
      <c r="A43" s="5" t="inlineStr">
        <is>
          <t>N-02</t>
        </is>
      </c>
      <c r="B43" s="5" t="inlineStr">
        <is>
          <t>News</t>
        </is>
      </c>
      <c r="C43" s="5" t="inlineStr">
        <is>
          <t>Breaking banner</t>
        </is>
      </c>
      <c r="D43" s="9" t="inlineStr">
        <is>
          <t>P2</t>
        </is>
      </c>
      <c r="E43" s="7" t="inlineStr">
        <is>
          <t>Both</t>
        </is>
      </c>
      <c r="F43" s="7" t="inlineStr">
        <is>
          <t>Functional</t>
        </is>
      </c>
      <c r="G43" s="5" t="inlineStr">
        <is>
          <t>A breaking item exists</t>
        </is>
      </c>
      <c r="H43" s="5" t="inlineStr">
        <is>
          <t>1. Observe top of Home / News</t>
        </is>
      </c>
      <c r="I43" s="5" t="inlineStr">
        <is>
          <t>-</t>
        </is>
      </c>
      <c r="J43" s="5" t="inlineStr">
        <is>
          <t>Breaking banner shown; tapping opens the story/News</t>
        </is>
      </c>
      <c r="K43" s="5" t="inlineStr"/>
      <c r="L43" s="7" t="inlineStr">
        <is>
          <t>Not Run</t>
        </is>
      </c>
      <c r="M43" s="5" t="inlineStr"/>
      <c r="N43" s="5" t="inlineStr"/>
      <c r="O43" s="5" t="inlineStr"/>
    </row>
    <row r="44">
      <c r="A44" s="5" t="inlineStr">
        <is>
          <t>A-05</t>
        </is>
      </c>
      <c r="B44" s="5" t="inlineStr">
        <is>
          <t>Ads</t>
        </is>
      </c>
      <c r="C44" s="5" t="inlineStr">
        <is>
          <t>Leaderboard + in-feed banners</t>
        </is>
      </c>
      <c r="D44" s="8" t="inlineStr">
        <is>
          <t>P1</t>
        </is>
      </c>
      <c r="E44" s="7" t="inlineStr">
        <is>
          <t>Web</t>
        </is>
      </c>
      <c r="F44" s="7" t="inlineStr">
        <is>
          <t>Functional</t>
        </is>
      </c>
      <c r="G44" s="5" t="inlineStr">
        <is>
          <t>Non-premium user</t>
        </is>
      </c>
      <c r="H44" s="5" t="inlineStr">
        <is>
          <t>1. Load Home
2. Observe ad slots</t>
        </is>
      </c>
      <c r="I44" s="5" t="inlineStr">
        <is>
          <t>-</t>
        </is>
      </c>
      <c r="J44" s="5" t="inlineStr">
        <is>
          <t>Banner slots render from active campaigns; premium users see fewer/no ads</t>
        </is>
      </c>
      <c r="K44" s="5" t="inlineStr"/>
      <c r="L44" s="7" t="inlineStr">
        <is>
          <t>Not Run</t>
        </is>
      </c>
      <c r="M44" s="5" t="inlineStr"/>
      <c r="N44" s="5" t="inlineStr"/>
      <c r="O44" s="5" t="inlineStr"/>
    </row>
    <row r="45">
      <c r="A45" s="5" t="inlineStr">
        <is>
          <t>A-06</t>
        </is>
      </c>
      <c r="B45" s="5" t="inlineStr">
        <is>
          <t>Ads</t>
        </is>
      </c>
      <c r="C45" s="5" t="inlineStr">
        <is>
          <t>Impression/click tracking</t>
        </is>
      </c>
      <c r="D45" s="9" t="inlineStr">
        <is>
          <t>P2</t>
        </is>
      </c>
      <c r="E45" s="7" t="inlineStr">
        <is>
          <t>Web</t>
        </is>
      </c>
      <c r="F45" s="7" t="inlineStr">
        <is>
          <t>Functional</t>
        </is>
      </c>
      <c r="G45" s="5" t="inlineStr">
        <is>
          <t>Sponsored station/clip shown</t>
        </is>
      </c>
      <c r="H45" s="5" t="inlineStr">
        <is>
          <t>1. View then click a sponsored item</t>
        </is>
      </c>
      <c r="I45" s="5" t="inlineStr">
        <is>
          <t>-</t>
        </is>
      </c>
      <c r="J45" s="5" t="inlineStr">
        <is>
          <t>Impression fired on view; click fired on tap (verify via network/logs)</t>
        </is>
      </c>
      <c r="K45" s="5" t="inlineStr"/>
      <c r="L45" s="7" t="inlineStr">
        <is>
          <t>Not Run</t>
        </is>
      </c>
      <c r="M45" s="5" t="inlineStr"/>
      <c r="N45" s="5" t="inlineStr"/>
      <c r="O45" s="5" t="inlineStr"/>
    </row>
    <row r="46">
      <c r="A46" s="5" t="inlineStr">
        <is>
          <t>DT-01</t>
        </is>
      </c>
      <c r="B46" s="5" t="inlineStr">
        <is>
          <t>Design / Theme</t>
        </is>
      </c>
      <c r="C46" s="5" t="inlineStr">
        <is>
          <t>Dark/light toggle</t>
        </is>
      </c>
      <c r="D46" s="8" t="inlineStr">
        <is>
          <t>P1</t>
        </is>
      </c>
      <c r="E46" s="7" t="inlineStr">
        <is>
          <t>Web</t>
        </is>
      </c>
      <c r="F46" s="7" t="inlineStr">
        <is>
          <t>Functional</t>
        </is>
      </c>
      <c r="G46" s="5" t="inlineStr">
        <is>
          <t>Logged in</t>
        </is>
      </c>
      <c r="H46" s="5" t="inlineStr">
        <is>
          <t>1. Toggle theme (theme-toggle)
2. Navigate key pages</t>
        </is>
      </c>
      <c r="I46" s="5" t="inlineStr">
        <is>
          <t>-</t>
        </is>
      </c>
      <c r="J46" s="5" t="inlineStr">
        <is>
          <t>Theme flips app-wide; persists; no washed-out or unreadable elements</t>
        </is>
      </c>
      <c r="K46" s="5" t="inlineStr"/>
      <c r="L46" s="7" t="inlineStr">
        <is>
          <t>Not Run</t>
        </is>
      </c>
      <c r="M46" s="5" t="inlineStr"/>
      <c r="N46" s="5" t="inlineStr"/>
      <c r="O46" s="5" t="inlineStr"/>
    </row>
    <row r="47">
      <c r="A47" s="5" t="inlineStr">
        <is>
          <t>DT-02</t>
        </is>
      </c>
      <c r="B47" s="5" t="inlineStr">
        <is>
          <t>Design / Theme</t>
        </is>
      </c>
      <c r="C47" s="5" t="inlineStr">
        <is>
          <t>Predict &amp; Win light theme</t>
        </is>
      </c>
      <c r="D47" s="6" t="inlineStr">
        <is>
          <t>P0</t>
        </is>
      </c>
      <c r="E47" s="7" t="inlineStr">
        <is>
          <t>Web</t>
        </is>
      </c>
      <c r="F47" s="7" t="inlineStr">
        <is>
          <t>Functional</t>
        </is>
      </c>
      <c r="G47" s="5" t="inlineStr">
        <is>
          <t>Theme = light</t>
        </is>
      </c>
      <c r="H47" s="5" t="inlineStr">
        <is>
          <t>1. Open /predict-win</t>
        </is>
      </c>
      <c r="I47" s="5" t="inlineStr">
        <is>
          <t>-</t>
        </is>
      </c>
      <c r="J47" s="5" t="inlineStr">
        <is>
          <t>Background/text/cards/chips all legible in light; no black-on-black or white-on-white</t>
        </is>
      </c>
      <c r="K47" s="5" t="inlineStr"/>
      <c r="L47" s="7" t="inlineStr">
        <is>
          <t>Not Run</t>
        </is>
      </c>
      <c r="M47" s="5" t="inlineStr"/>
      <c r="N47" s="5" t="inlineStr"/>
      <c r="O47" s="5" t="inlineStr"/>
    </row>
    <row r="48">
      <c r="A48" s="5" t="inlineStr">
        <is>
          <t>DT-03</t>
        </is>
      </c>
      <c r="B48" s="5" t="inlineStr">
        <is>
          <t>Design / Theme</t>
        </is>
      </c>
      <c r="C48" s="5" t="inlineStr">
        <is>
          <t>Trivia light theme</t>
        </is>
      </c>
      <c r="D48" s="8" t="inlineStr">
        <is>
          <t>P1</t>
        </is>
      </c>
      <c r="E48" s="7" t="inlineStr">
        <is>
          <t>Web</t>
        </is>
      </c>
      <c r="F48" s="7" t="inlineStr">
        <is>
          <t>Functional</t>
        </is>
      </c>
      <c r="G48" s="5" t="inlineStr">
        <is>
          <t>Theme = light</t>
        </is>
      </c>
      <c r="H48" s="5" t="inlineStr">
        <is>
          <t>1. Open /trivia</t>
        </is>
      </c>
      <c r="I48" s="5" t="inlineStr">
        <is>
          <t>-</t>
        </is>
      </c>
      <c r="J48" s="5" t="inlineStr">
        <is>
          <t>Category cards + sidebar legible in light and dark</t>
        </is>
      </c>
      <c r="K48" s="5" t="inlineStr"/>
      <c r="L48" s="7" t="inlineStr">
        <is>
          <t>Not Run</t>
        </is>
      </c>
      <c r="M48" s="5" t="inlineStr"/>
      <c r="N48" s="5" t="inlineStr"/>
      <c r="O48" s="5" t="inlineStr"/>
    </row>
    <row r="49">
      <c r="A49" s="5" t="inlineStr">
        <is>
          <t>L-01</t>
        </is>
      </c>
      <c r="B49" s="5" t="inlineStr">
        <is>
          <t>Location</t>
        </is>
      </c>
      <c r="C49" s="5" t="inlineStr">
        <is>
          <t>Single geo source</t>
        </is>
      </c>
      <c r="D49" s="8" t="inlineStr">
        <is>
          <t>P1</t>
        </is>
      </c>
      <c r="E49" s="7" t="inlineStr">
        <is>
          <t>Both</t>
        </is>
      </c>
      <c r="F49" s="7" t="inlineStr">
        <is>
          <t>Functional</t>
        </is>
      </c>
      <c r="G49" s="5" t="inlineStr">
        <is>
          <t>Fresh session</t>
        </is>
      </c>
      <c r="H49" s="5" t="inlineStr">
        <is>
          <t>1. Load app
2. Check header city, news, venues, trivia city</t>
        </is>
      </c>
      <c r="I49" s="5" t="inlineStr">
        <is>
          <t>-</t>
        </is>
      </c>
      <c r="J49" s="5" t="inlineStr">
        <is>
          <t>All reflect ONE detected city; no hardcoded Orlando/NY/Dubai mismatch</t>
        </is>
      </c>
      <c r="K49" s="5" t="inlineStr"/>
      <c r="L49" s="7" t="inlineStr">
        <is>
          <t>Not Run</t>
        </is>
      </c>
      <c r="M49" s="5" t="inlineStr"/>
      <c r="N49" s="5" t="inlineStr"/>
      <c r="O49" s="5" t="inlineStr"/>
    </row>
    <row r="50">
      <c r="A50" s="5" t="inlineStr">
        <is>
          <t>MA-01</t>
        </is>
      </c>
      <c r="B50" s="5" t="inlineStr">
        <is>
          <t>Mobile App</t>
        </is>
      </c>
      <c r="C50" s="5" t="inlineStr">
        <is>
          <t>Home dark YouTube shell</t>
        </is>
      </c>
      <c r="D50" s="6" t="inlineStr">
        <is>
          <t>P0</t>
        </is>
      </c>
      <c r="E50" s="7" t="inlineStr">
        <is>
          <t>Mobile</t>
        </is>
      </c>
      <c r="F50" s="7" t="inlineStr">
        <is>
          <t>Smoke</t>
        </is>
      </c>
      <c r="G50" s="5" t="inlineStr">
        <is>
          <t>Logged in on Expo app</t>
        </is>
      </c>
      <c r="H50" s="5" t="inlineStr">
        <is>
          <t>1. Open Home tab</t>
        </is>
      </c>
      <c r="I50" s="5" t="inlineStr">
        <is>
          <t>-</t>
        </is>
      </c>
      <c r="J50" s="5" t="inlineStr">
        <is>
          <t>Dark themed Home; header with menu + points; sticky filter chips; no blank screen</t>
        </is>
      </c>
      <c r="K50" s="5" t="inlineStr"/>
      <c r="L50" s="7" t="inlineStr">
        <is>
          <t>Not Run</t>
        </is>
      </c>
      <c r="M50" s="5" t="inlineStr"/>
      <c r="N50" s="5" t="inlineStr"/>
      <c r="O50" s="5" t="inlineStr"/>
    </row>
    <row r="51">
      <c r="A51" s="5" t="inlineStr">
        <is>
          <t>MA-02</t>
        </is>
      </c>
      <c r="B51" s="5" t="inlineStr">
        <is>
          <t>Mobile App</t>
        </is>
      </c>
      <c r="C51" s="5" t="inlineStr">
        <is>
          <t>Swipeable shelves w/ peek</t>
        </is>
      </c>
      <c r="D51" s="8" t="inlineStr">
        <is>
          <t>P1</t>
        </is>
      </c>
      <c r="E51" s="7" t="inlineStr">
        <is>
          <t>Mobile</t>
        </is>
      </c>
      <c r="F51" s="7" t="inlineStr">
        <is>
          <t>Functional</t>
        </is>
      </c>
      <c r="G51" s="5" t="inlineStr">
        <is>
          <t>On mobile Home</t>
        </is>
      </c>
      <c r="H51" s="5" t="inlineStr">
        <is>
          <t>1. Swipe each shelf horizontally</t>
        </is>
      </c>
      <c r="I51" s="5" t="inlineStr">
        <is>
          <t>-</t>
        </is>
      </c>
      <c r="J51" s="5" t="inlineStr">
        <is>
          <t>Shelves scroll horizontally; next card peeks (half-card); smooth 60fps</t>
        </is>
      </c>
      <c r="K51" s="5" t="inlineStr"/>
      <c r="L51" s="7" t="inlineStr">
        <is>
          <t>Not Run</t>
        </is>
      </c>
      <c r="M51" s="5" t="inlineStr"/>
      <c r="N51" s="5" t="inlineStr"/>
      <c r="O51" s="5" t="inlineStr"/>
    </row>
    <row r="52">
      <c r="A52" s="5" t="inlineStr">
        <is>
          <t>MA-03</t>
        </is>
      </c>
      <c r="B52" s="5" t="inlineStr">
        <is>
          <t>Mobile App</t>
        </is>
      </c>
      <c r="C52" s="5" t="inlineStr">
        <is>
          <t>Slide-out drawer</t>
        </is>
      </c>
      <c r="D52" s="8" t="inlineStr">
        <is>
          <t>P1</t>
        </is>
      </c>
      <c r="E52" s="7" t="inlineStr">
        <is>
          <t>Mobile</t>
        </is>
      </c>
      <c r="F52" s="7" t="inlineStr">
        <is>
          <t>Functional</t>
        </is>
      </c>
      <c r="G52" s="5" t="inlineStr">
        <is>
          <t>On mobile Home</t>
        </is>
      </c>
      <c r="H52" s="5" t="inlineStr">
        <is>
          <t>1. Tap the menu (hamburger)
2. Tap a drawer item</t>
        </is>
      </c>
      <c r="I52" s="5" t="inlineStr">
        <is>
          <t>-</t>
        </is>
      </c>
      <c r="J52" s="5" t="inlineStr">
        <is>
          <t>Drawer slides in with Primary + Discover nav; item navigates and drawer closes</t>
        </is>
      </c>
      <c r="K52" s="5" t="inlineStr"/>
      <c r="L52" s="7" t="inlineStr">
        <is>
          <t>Not Run</t>
        </is>
      </c>
      <c r="M52" s="5" t="inlineStr"/>
      <c r="N52" s="5" t="inlineStr"/>
      <c r="O52" s="5" t="inlineStr"/>
    </row>
    <row r="53">
      <c r="A53" s="5" t="inlineStr">
        <is>
          <t>MA-04</t>
        </is>
      </c>
      <c r="B53" s="5" t="inlineStr">
        <is>
          <t>Mobile App</t>
        </is>
      </c>
      <c r="C53" s="5" t="inlineStr">
        <is>
          <t>Bottom tab bar</t>
        </is>
      </c>
      <c r="D53" s="8" t="inlineStr">
        <is>
          <t>P1</t>
        </is>
      </c>
      <c r="E53" s="7" t="inlineStr">
        <is>
          <t>Mobile</t>
        </is>
      </c>
      <c r="F53" s="7" t="inlineStr">
        <is>
          <t>Functional</t>
        </is>
      </c>
      <c r="G53" s="5" t="inlineStr">
        <is>
          <t>On any tab</t>
        </is>
      </c>
      <c r="H53" s="5" t="inlineStr">
        <is>
          <t>1. Tap between tabs</t>
        </is>
      </c>
      <c r="I53" s="5" t="inlineStr">
        <is>
          <t>-</t>
        </is>
      </c>
      <c r="J53" s="5" t="inlineStr">
        <is>
          <t>Dark tab bar; selected tab clearly differs in colour from unselected; correct screen loads</t>
        </is>
      </c>
      <c r="K53" s="5" t="inlineStr"/>
      <c r="L53" s="7" t="inlineStr">
        <is>
          <t>Not Run</t>
        </is>
      </c>
      <c r="M53" s="5" t="inlineStr"/>
      <c r="N53" s="5" t="inlineStr"/>
      <c r="O53" s="5" t="inlineStr"/>
    </row>
    <row r="54">
      <c r="A54" s="5" t="inlineStr">
        <is>
          <t>MA-05</t>
        </is>
      </c>
      <c r="B54" s="5" t="inlineStr">
        <is>
          <t>Mobile App</t>
        </is>
      </c>
      <c r="C54" s="5" t="inlineStr">
        <is>
          <t>Sponsored clip claim (mobile)</t>
        </is>
      </c>
      <c r="D54" s="8" t="inlineStr">
        <is>
          <t>P1</t>
        </is>
      </c>
      <c r="E54" s="7" t="inlineStr">
        <is>
          <t>Mobile</t>
        </is>
      </c>
      <c r="F54" s="7" t="inlineStr">
        <is>
          <t>Functional</t>
        </is>
      </c>
      <c r="G54" s="5" t="inlineStr">
        <is>
          <t>Sponsored clip on mobile Home</t>
        </is>
      </c>
      <c r="H54" s="5" t="inlineStr">
        <is>
          <t>1. Tap the sponsored clip</t>
        </is>
      </c>
      <c r="I54" s="5" t="inlineStr">
        <is>
          <t>-</t>
        </is>
      </c>
      <c r="J54" s="5" t="inlineStr">
        <is>
          <t>Claim fires; an inline banner shows the redemption code; dismissable</t>
        </is>
      </c>
      <c r="K54" s="5" t="inlineStr"/>
      <c r="L54" s="7" t="inlineStr">
        <is>
          <t>Not Run</t>
        </is>
      </c>
      <c r="M54" s="5" t="inlineStr"/>
      <c r="N54" s="5" t="inlineStr"/>
      <c r="O54" s="5" t="inlineStr"/>
    </row>
    <row r="55">
      <c r="A55" s="5" t="inlineStr">
        <is>
          <t>MA-06</t>
        </is>
      </c>
      <c r="B55" s="5" t="inlineStr">
        <is>
          <t>Mobile App</t>
        </is>
      </c>
      <c r="C55" s="5" t="inlineStr">
        <is>
          <t>Pull to refresh</t>
        </is>
      </c>
      <c r="D55" s="9" t="inlineStr">
        <is>
          <t>P2</t>
        </is>
      </c>
      <c r="E55" s="7" t="inlineStr">
        <is>
          <t>Mobile</t>
        </is>
      </c>
      <c r="F55" s="7" t="inlineStr">
        <is>
          <t>Functional</t>
        </is>
      </c>
      <c r="G55" s="5" t="inlineStr">
        <is>
          <t>On mobile Home</t>
        </is>
      </c>
      <c r="H55" s="5" t="inlineStr">
        <is>
          <t>1. Pull down to refresh</t>
        </is>
      </c>
      <c r="I55" s="5" t="inlineStr">
        <is>
          <t>-</t>
        </is>
      </c>
      <c r="J55" s="5" t="inlineStr">
        <is>
          <t>Feed reloads; spinner uses brand colour</t>
        </is>
      </c>
      <c r="K55" s="5" t="inlineStr"/>
      <c r="L55" s="7" t="inlineStr">
        <is>
          <t>Not Run</t>
        </is>
      </c>
      <c r="M55" s="5" t="inlineStr"/>
      <c r="N55" s="5" t="inlineStr"/>
      <c r="O55" s="5" t="inlineStr"/>
    </row>
    <row r="56">
      <c r="A56" s="5" t="inlineStr">
        <is>
          <t>MA-07</t>
        </is>
      </c>
      <c r="B56" s="5" t="inlineStr">
        <is>
          <t>Mobile App</t>
        </is>
      </c>
      <c r="C56" s="5" t="inlineStr">
        <is>
          <t>Safe areas</t>
        </is>
      </c>
      <c r="D56" s="9" t="inlineStr">
        <is>
          <t>P2</t>
        </is>
      </c>
      <c r="E56" s="7" t="inlineStr">
        <is>
          <t>Mobile</t>
        </is>
      </c>
      <c r="F56" s="7" t="inlineStr">
        <is>
          <t>Functional</t>
        </is>
      </c>
      <c r="G56" s="5" t="inlineStr">
        <is>
          <t>Device with notch</t>
        </is>
      </c>
      <c r="H56" s="5" t="inlineStr">
        <is>
          <t>1. Observe header + tab bar</t>
        </is>
      </c>
      <c r="I56" s="5" t="inlineStr">
        <is>
          <t>-</t>
        </is>
      </c>
      <c r="J56" s="5" t="inlineStr">
        <is>
          <t>Content respects safe areas; nothing clipped by notch/home indicator</t>
        </is>
      </c>
      <c r="K56" s="5" t="inlineStr"/>
      <c r="L56" s="7" t="inlineStr">
        <is>
          <t>Not Run</t>
        </is>
      </c>
      <c r="M56" s="5" t="inlineStr"/>
      <c r="N56" s="5" t="inlineStr"/>
      <c r="O56" s="5" t="inlineStr"/>
    </row>
    <row r="57">
      <c r="A57" s="5" t="inlineStr">
        <is>
          <t>M-01</t>
        </is>
      </c>
      <c r="B57" s="5" t="inlineStr">
        <is>
          <t>Merchant</t>
        </is>
      </c>
      <c r="C57" s="5" t="inlineStr">
        <is>
          <t>Merchant dashboard access</t>
        </is>
      </c>
      <c r="D57" s="8" t="inlineStr">
        <is>
          <t>P1</t>
        </is>
      </c>
      <c r="E57" s="7" t="inlineStr">
        <is>
          <t>Web</t>
        </is>
      </c>
      <c r="F57" s="7" t="inlineStr">
        <is>
          <t>Functional</t>
        </is>
      </c>
      <c r="G57" s="5" t="inlineStr">
        <is>
          <t>Logged in as merchant</t>
        </is>
      </c>
      <c r="H57" s="5" t="inlineStr">
        <is>
          <t>1. Open Merchant Dashboard</t>
        </is>
      </c>
      <c r="I57" s="5" t="inlineStr">
        <is>
          <t>test@bigfm.dubai / TestUser123!</t>
        </is>
      </c>
      <c r="J57" s="5" t="inlineStr">
        <is>
          <t>Dashboard loads; can manage menu/products/promotions/memberships</t>
        </is>
      </c>
      <c r="K57" s="5" t="inlineStr"/>
      <c r="L57" s="7" t="inlineStr">
        <is>
          <t>Not Run</t>
        </is>
      </c>
      <c r="M57" s="5" t="inlineStr"/>
      <c r="N57" s="5" t="inlineStr"/>
      <c r="O57" s="5" t="inlineStr"/>
    </row>
    <row r="58">
      <c r="A58" s="5" t="inlineStr">
        <is>
          <t>M-02</t>
        </is>
      </c>
      <c r="B58" s="5" t="inlineStr">
        <is>
          <t>Merchant</t>
        </is>
      </c>
      <c r="C58" s="5" t="inlineStr">
        <is>
          <t>Create a promotion</t>
        </is>
      </c>
      <c r="D58" s="9" t="inlineStr">
        <is>
          <t>P2</t>
        </is>
      </c>
      <c r="E58" s="7" t="inlineStr">
        <is>
          <t>Web</t>
        </is>
      </c>
      <c r="F58" s="7" t="inlineStr">
        <is>
          <t>Functional</t>
        </is>
      </c>
      <c r="G58" s="5" t="inlineStr">
        <is>
          <t>Merchant with a business</t>
        </is>
      </c>
      <c r="H58" s="5" t="inlineStr">
        <is>
          <t>1. Create/boost a promotion</t>
        </is>
      </c>
      <c r="I58" s="5" t="inlineStr">
        <is>
          <t>-</t>
        </is>
      </c>
      <c r="J58" s="5" t="inlineStr">
        <is>
          <t>Business becomes sponsored; appears sponsored-first on the venue shelf</t>
        </is>
      </c>
      <c r="K58" s="5" t="inlineStr"/>
      <c r="L58" s="7" t="inlineStr">
        <is>
          <t>Not Run</t>
        </is>
      </c>
      <c r="M58" s="5" t="inlineStr"/>
      <c r="N58" s="5" t="inlineStr"/>
      <c r="O58" s="5" t="inlineStr"/>
    </row>
    <row r="59">
      <c r="A59" s="5" t="inlineStr">
        <is>
          <t>A-07</t>
        </is>
      </c>
      <c r="B59" s="5" t="inlineStr">
        <is>
          <t>Admin</t>
        </is>
      </c>
      <c r="C59" s="5" t="inlineStr">
        <is>
          <t>Admin login + panel</t>
        </is>
      </c>
      <c r="D59" s="8" t="inlineStr">
        <is>
          <t>P1</t>
        </is>
      </c>
      <c r="E59" s="7" t="inlineStr">
        <is>
          <t>Web</t>
        </is>
      </c>
      <c r="F59" s="7" t="inlineStr">
        <is>
          <t>Functional</t>
        </is>
      </c>
      <c r="G59" s="5" t="inlineStr">
        <is>
          <t>Admin account</t>
        </is>
      </c>
      <c r="H59" s="5" t="inlineStr">
        <is>
          <t>1. Log in as admin
2. Open admin routes</t>
        </is>
      </c>
      <c r="I59" s="5" t="inlineStr">
        <is>
          <t>admin@bigfm.dubai / AdminPass123!</t>
        </is>
      </c>
      <c r="J59" s="5" t="inlineStr">
        <is>
          <t>Admin panel accessible; non-admins are blocked from admin routes</t>
        </is>
      </c>
      <c r="K59" s="5" t="inlineStr"/>
      <c r="L59" s="7" t="inlineStr">
        <is>
          <t>Not Run</t>
        </is>
      </c>
      <c r="M59" s="5" t="inlineStr"/>
      <c r="N59" s="5" t="inlineStr"/>
      <c r="O59" s="5" t="inlineStr"/>
    </row>
    <row r="60">
      <c r="A60" s="5" t="inlineStr">
        <is>
          <t>A-08</t>
        </is>
      </c>
      <c r="B60" s="5" t="inlineStr">
        <is>
          <t>Admin</t>
        </is>
      </c>
      <c r="C60" s="5" t="inlineStr">
        <is>
          <t>Approvals / sponsorships</t>
        </is>
      </c>
      <c r="D60" s="9" t="inlineStr">
        <is>
          <t>P2</t>
        </is>
      </c>
      <c r="E60" s="7" t="inlineStr">
        <is>
          <t>Web</t>
        </is>
      </c>
      <c r="F60" s="7" t="inlineStr">
        <is>
          <t>Functional</t>
        </is>
      </c>
      <c r="G60" s="5" t="inlineStr">
        <is>
          <t>Pending items exist</t>
        </is>
      </c>
      <c r="H60" s="5" t="inlineStr">
        <is>
          <t>1. Review approvals / trivia &amp; station sponsorships</t>
        </is>
      </c>
      <c r="I60" s="5" t="inlineStr">
        <is>
          <t>-</t>
        </is>
      </c>
      <c r="J60" s="5" t="inlineStr">
        <is>
          <t>Admin can approve/reject; changes reflect in consumer app</t>
        </is>
      </c>
      <c r="K60" s="5" t="inlineStr"/>
      <c r="L60" s="7" t="inlineStr">
        <is>
          <t>Not Run</t>
        </is>
      </c>
      <c r="M60" s="5" t="inlineStr"/>
      <c r="N60" s="5" t="inlineStr"/>
      <c r="O60" s="5" t="inlineStr"/>
    </row>
    <row r="61">
      <c r="A61" s="5" t="inlineStr">
        <is>
          <t>C-06</t>
        </is>
      </c>
      <c r="B61" s="5" t="inlineStr">
        <is>
          <t>Cross-platform</t>
        </is>
      </c>
      <c r="C61" s="5" t="inlineStr">
        <is>
          <t>Same data web vs mobile</t>
        </is>
      </c>
      <c r="D61" s="8" t="inlineStr">
        <is>
          <t>P1</t>
        </is>
      </c>
      <c r="E61" s="7" t="inlineStr">
        <is>
          <t>Both</t>
        </is>
      </c>
      <c r="F61" s="7" t="inlineStr">
        <is>
          <t>Functional</t>
        </is>
      </c>
      <c r="G61" s="5" t="inlineStr">
        <is>
          <t>Same user on both</t>
        </is>
      </c>
      <c r="H61" s="5" t="inlineStr">
        <is>
          <t>1. Compare Home shelves on web and mobile</t>
        </is>
      </c>
      <c r="I61" s="5" t="inlineStr">
        <is>
          <t>demo@bigfm.dubai</t>
        </is>
      </c>
      <c r="J61" s="5" t="inlineStr">
        <is>
          <t>Stations, clips, venues, points match (served by one /api); no platform-only divergence</t>
        </is>
      </c>
      <c r="K61" s="5" t="inlineStr"/>
      <c r="L61" s="7" t="inlineStr">
        <is>
          <t>Not Run</t>
        </is>
      </c>
      <c r="M61" s="5" t="inlineStr"/>
      <c r="N61" s="5" t="inlineStr"/>
      <c r="O61" s="5" t="inlineStr"/>
    </row>
    <row r="62">
      <c r="A62" s="5" t="inlineStr">
        <is>
          <t>N-03</t>
        </is>
      </c>
      <c r="B62" s="5" t="inlineStr">
        <is>
          <t>Non-functional</t>
        </is>
      </c>
      <c r="C62" s="5" t="inlineStr">
        <is>
          <t>Home load performance</t>
        </is>
      </c>
      <c r="D62" s="9" t="inlineStr">
        <is>
          <t>P2</t>
        </is>
      </c>
      <c r="E62" s="7" t="inlineStr">
        <is>
          <t>Both</t>
        </is>
      </c>
      <c r="F62" s="7" t="inlineStr">
        <is>
          <t>Performance</t>
        </is>
      </c>
      <c r="G62" s="5" t="inlineStr">
        <is>
          <t>Normal network</t>
        </is>
      </c>
      <c r="H62" s="5" t="inlineStr">
        <is>
          <t>1. Cold load Home
2. Measure time to interactive</t>
        </is>
      </c>
      <c r="I62" s="5" t="inlineStr">
        <is>
          <t>-</t>
        </is>
      </c>
      <c r="J62" s="5" t="inlineStr">
        <is>
          <t>Home usable within a few seconds; skeletons/loaders shown while fetching</t>
        </is>
      </c>
      <c r="K62" s="5" t="inlineStr"/>
      <c r="L62" s="7" t="inlineStr">
        <is>
          <t>Not Run</t>
        </is>
      </c>
      <c r="M62" s="5" t="inlineStr"/>
      <c r="N62" s="5" t="inlineStr"/>
      <c r="O62" s="5" t="inlineStr"/>
    </row>
    <row r="63">
      <c r="A63" s="5" t="inlineStr">
        <is>
          <t>N-04</t>
        </is>
      </c>
      <c r="B63" s="5" t="inlineStr">
        <is>
          <t>Non-functional</t>
        </is>
      </c>
      <c r="C63" s="5" t="inlineStr">
        <is>
          <t>Graceful API failure</t>
        </is>
      </c>
      <c r="D63" s="8" t="inlineStr">
        <is>
          <t>P1</t>
        </is>
      </c>
      <c r="E63" s="7" t="inlineStr">
        <is>
          <t>Both</t>
        </is>
      </c>
      <c r="F63" s="7" t="inlineStr">
        <is>
          <t>Negative</t>
        </is>
      </c>
      <c r="G63" s="5" t="inlineStr">
        <is>
          <t>Simulate a failed endpoint</t>
        </is>
      </c>
      <c r="H63" s="5" t="inlineStr">
        <is>
          <t>1. Block one shelf's API
2. Load Home</t>
        </is>
      </c>
      <c r="I63" s="5" t="inlineStr">
        <is>
          <t>-</t>
        </is>
      </c>
      <c r="J63" s="5" t="inlineStr">
        <is>
          <t>That shelf is hidden or shows a friendly error+retry; rest of Home still works; no crash</t>
        </is>
      </c>
      <c r="K63" s="5" t="inlineStr"/>
      <c r="L63" s="7" t="inlineStr">
        <is>
          <t>Not Run</t>
        </is>
      </c>
      <c r="M63" s="5" t="inlineStr"/>
      <c r="N63" s="5" t="inlineStr"/>
      <c r="O63" s="5" t="inlineStr"/>
    </row>
    <row r="64">
      <c r="A64" s="5" t="inlineStr">
        <is>
          <t>N-05</t>
        </is>
      </c>
      <c r="B64" s="5" t="inlineStr">
        <is>
          <t>Non-functional</t>
        </is>
      </c>
      <c r="C64" s="5" t="inlineStr">
        <is>
          <t>Broken image fallback</t>
        </is>
      </c>
      <c r="D64" s="9" t="inlineStr">
        <is>
          <t>P2</t>
        </is>
      </c>
      <c r="E64" s="7" t="inlineStr">
        <is>
          <t>Both</t>
        </is>
      </c>
      <c r="F64" s="7" t="inlineStr">
        <is>
          <t>Negative</t>
        </is>
      </c>
      <c r="G64" s="5" t="inlineStr">
        <is>
          <t>A station has a dead image URL</t>
        </is>
      </c>
      <c r="H64" s="5" t="inlineStr">
        <is>
          <t>1. Open that station</t>
        </is>
      </c>
      <c r="I64" s="5" t="inlineStr">
        <is>
          <t>-</t>
        </is>
      </c>
      <c r="J64" s="5" t="inlineStr">
        <is>
          <t>Falls back to placeholder/initials; layout not broken</t>
        </is>
      </c>
      <c r="K64" s="5" t="inlineStr"/>
      <c r="L64" s="7" t="inlineStr">
        <is>
          <t>Not Run</t>
        </is>
      </c>
      <c r="M64" s="5" t="inlineStr"/>
      <c r="N64" s="5" t="inlineStr"/>
      <c r="O64" s="5" t="inlineStr"/>
    </row>
    <row r="65">
      <c r="A65" s="5" t="inlineStr">
        <is>
          <t>N-06</t>
        </is>
      </c>
      <c r="B65" s="5" t="inlineStr">
        <is>
          <t>Non-functional</t>
        </is>
      </c>
      <c r="C65" s="5" t="inlineStr">
        <is>
          <t>Deep link / refresh</t>
        </is>
      </c>
      <c r="D65" s="9" t="inlineStr">
        <is>
          <t>P2</t>
        </is>
      </c>
      <c r="E65" s="7" t="inlineStr">
        <is>
          <t>Web</t>
        </is>
      </c>
      <c r="F65" s="7" t="inlineStr">
        <is>
          <t>Functional</t>
        </is>
      </c>
      <c r="G65" s="5" t="inlineStr">
        <is>
          <t>On a deep page</t>
        </is>
      </c>
      <c r="H65" s="5" t="inlineStr">
        <is>
          <t>1. Refresh the browser on /shop, /trivia, /predict-win</t>
        </is>
      </c>
      <c r="I65" s="5" t="inlineStr">
        <is>
          <t>-</t>
        </is>
      </c>
      <c r="J65" s="5" t="inlineStr">
        <is>
          <t>Page reloads correctly (no 404); auth preserved</t>
        </is>
      </c>
      <c r="K65" s="5" t="inlineStr"/>
      <c r="L65" s="7" t="inlineStr">
        <is>
          <t>Not Run</t>
        </is>
      </c>
      <c r="M65" s="5" t="inlineStr"/>
      <c r="N65" s="5" t="inlineStr"/>
      <c r="O65" s="5" t="inlineStr"/>
    </row>
  </sheetData>
  <autoFilter ref="A1:O65"/>
  <dataValidations count="1">
    <dataValidation sqref="L2:L65" showDropDown="0" showInputMessage="0" showErrorMessage="0" allowBlank="1" type="list">
      <formula1>"Pass,Fail,Blocked,N/A,Not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0" t="inlineStr">
        <is>
          <t>RadioLife UAT — Summary</t>
        </is>
      </c>
    </row>
    <row r="3">
      <c r="A3" s="11" t="inlineStr">
        <is>
          <t>Overall status</t>
        </is>
      </c>
    </row>
    <row r="4">
      <c r="A4" s="2" t="inlineStr">
        <is>
          <t>Total test cases</t>
        </is>
      </c>
      <c r="B4" s="12">
        <f>COUNTA('UAT Test Cases'!A2:A65)</f>
        <v/>
      </c>
      <c r="D4" s="13" t="inlineStr">
        <is>
          <t>By Priority</t>
        </is>
      </c>
    </row>
    <row r="5">
      <c r="A5" s="2" t="inlineStr">
        <is>
          <t>Pass</t>
        </is>
      </c>
      <c r="B5" s="12">
        <f>COUNTIF('UAT Test Cases'!L2:L65,"Pass")</f>
        <v/>
      </c>
      <c r="D5" t="inlineStr">
        <is>
          <t>P0</t>
        </is>
      </c>
      <c r="E5" s="13">
        <f>COUNTIF('UAT Test Cases'!D2:D65,"P0")</f>
        <v/>
      </c>
    </row>
    <row r="6">
      <c r="A6" s="2" t="inlineStr">
        <is>
          <t>Fail</t>
        </is>
      </c>
      <c r="B6" s="12">
        <f>COUNTIF('UAT Test Cases'!L2:L65,"Fail")</f>
        <v/>
      </c>
      <c r="D6" t="inlineStr">
        <is>
          <t>P1</t>
        </is>
      </c>
      <c r="E6" s="13">
        <f>COUNTIF('UAT Test Cases'!D2:D65,"P1")</f>
        <v/>
      </c>
    </row>
    <row r="7">
      <c r="A7" s="2" t="inlineStr">
        <is>
          <t>Blocked</t>
        </is>
      </c>
      <c r="B7" s="12">
        <f>COUNTIF('UAT Test Cases'!L2:L65,"Blocked")</f>
        <v/>
      </c>
      <c r="D7" t="inlineStr">
        <is>
          <t>P2</t>
        </is>
      </c>
      <c r="E7" s="13">
        <f>COUNTIF('UAT Test Cases'!D2:D65,"P2")</f>
        <v/>
      </c>
    </row>
    <row r="8">
      <c r="A8" s="2" t="inlineStr">
        <is>
          <t>N/A</t>
        </is>
      </c>
      <c r="B8" s="12">
        <f>COUNTIF('UAT Test Cases'!L2:L65,"N/A")</f>
        <v/>
      </c>
    </row>
    <row r="9">
      <c r="A9" s="2" t="inlineStr">
        <is>
          <t>Not Run</t>
        </is>
      </c>
      <c r="B9" s="12">
        <f>COUNTIF('UAT Test Cases'!L2:L65,"Not Run")</f>
        <v/>
      </c>
      <c r="D9" s="13" t="inlineStr">
        <is>
          <t>By Module (total / pass)</t>
        </is>
      </c>
      <c r="F9" s="14" t="inlineStr"/>
    </row>
    <row r="10">
      <c r="A10" s="2" t="inlineStr">
        <is>
          <t>% Pass</t>
        </is>
      </c>
      <c r="B10" s="15">
        <f>IF(COUNTA('UAT Test Cases'!A2:A65)=0,0,COUNTIF('UAT Test Cases'!L2:L65,"Pass")/COUNTA('UAT Test Cases'!A2:A65))</f>
        <v/>
      </c>
      <c r="D10" s="14" t="inlineStr">
        <is>
          <t>Authentication</t>
        </is>
      </c>
      <c r="E10">
        <f>COUNTIF('UAT Test Cases'!B2:B65,"Authentication")</f>
        <v/>
      </c>
      <c r="F10">
        <f>COUNTIFS('UAT Test Cases'!B2:B65,"Authentication",'UAT Test Cases'!L2:L65,"Pass")</f>
        <v/>
      </c>
    </row>
    <row r="11">
      <c r="D11" s="14" t="inlineStr">
        <is>
          <t>Home / Shell</t>
        </is>
      </c>
      <c r="E11">
        <f>COUNTIF('UAT Test Cases'!B2:B65,"Home / Shell")</f>
        <v/>
      </c>
      <c r="F11">
        <f>COUNTIFS('UAT Test Cases'!B2:B65,"Home / Shell",'UAT Test Cases'!L2:L65,"Pass")</f>
        <v/>
      </c>
    </row>
    <row r="12">
      <c r="D12" s="14" t="inlineStr">
        <is>
          <t>Radio &amp; Playback</t>
        </is>
      </c>
      <c r="E12">
        <f>COUNTIF('UAT Test Cases'!B2:B65,"Radio &amp; Playback")</f>
        <v/>
      </c>
      <c r="F12">
        <f>COUNTIFS('UAT Test Cases'!B2:B65,"Radio &amp; Playback",'UAT Test Cases'!L2:L65,"Pass")</f>
        <v/>
      </c>
    </row>
    <row r="13">
      <c r="D13" s="14" t="inlineStr">
        <is>
          <t>Station Artwork</t>
        </is>
      </c>
      <c r="E13">
        <f>COUNTIF('UAT Test Cases'!B2:B65,"Station Artwork")</f>
        <v/>
      </c>
      <c r="F13">
        <f>COUNTIFS('UAT Test Cases'!B2:B65,"Station Artwork",'UAT Test Cases'!L2:L65,"Pass")</f>
        <v/>
      </c>
    </row>
    <row r="14">
      <c r="D14" s="14" t="inlineStr">
        <is>
          <t>Clips</t>
        </is>
      </c>
      <c r="E14">
        <f>COUNTIF('UAT Test Cases'!B2:B65,"Clips")</f>
        <v/>
      </c>
      <c r="F14">
        <f>COUNTIFS('UAT Test Cases'!B2:B65,"Clips",'UAT Test Cases'!L2:L65,"Pass")</f>
        <v/>
      </c>
    </row>
    <row r="15">
      <c r="D15" s="14" t="inlineStr">
        <is>
          <t>Shop &amp; Eat</t>
        </is>
      </c>
      <c r="E15">
        <f>COUNTIF('UAT Test Cases'!B2:B65,"Shop &amp; Eat")</f>
        <v/>
      </c>
      <c r="F15">
        <f>COUNTIFS('UAT Test Cases'!B2:B65,"Shop &amp; Eat",'UAT Test Cases'!L2:L65,"Pass")</f>
        <v/>
      </c>
    </row>
    <row r="16">
      <c r="D16" s="14" t="inlineStr">
        <is>
          <t>BigPoints &amp; Wallet</t>
        </is>
      </c>
      <c r="E16">
        <f>COUNTIF('UAT Test Cases'!B2:B65,"BigPoints &amp; Wallet")</f>
        <v/>
      </c>
      <c r="F16">
        <f>COUNTIFS('UAT Test Cases'!B2:B65,"BigPoints &amp; Wallet",'UAT Test Cases'!L2:L65,"Pass")</f>
        <v/>
      </c>
    </row>
    <row r="17">
      <c r="D17" s="14" t="inlineStr">
        <is>
          <t>On-Air Offers</t>
        </is>
      </c>
      <c r="E17">
        <f>COUNTIF('UAT Test Cases'!B2:B65,"On-Air Offers")</f>
        <v/>
      </c>
      <c r="F17">
        <f>COUNTIFS('UAT Test Cases'!B2:B65,"On-Air Offers",'UAT Test Cases'!L2:L65,"Pass")</f>
        <v/>
      </c>
    </row>
    <row r="18">
      <c r="D18" s="14" t="inlineStr">
        <is>
          <t>Games - Predict &amp; Win</t>
        </is>
      </c>
      <c r="E18">
        <f>COUNTIF('UAT Test Cases'!B2:B65,"Games - Predict &amp; Win")</f>
        <v/>
      </c>
      <c r="F18">
        <f>COUNTIFS('UAT Test Cases'!B2:B65,"Games - Predict &amp; Win",'UAT Test Cases'!L2:L65,"Pass")</f>
        <v/>
      </c>
    </row>
    <row r="19">
      <c r="D19" s="14" t="inlineStr">
        <is>
          <t>Games - Trivia</t>
        </is>
      </c>
      <c r="E19">
        <f>COUNTIF('UAT Test Cases'!B2:B65,"Games - Trivia")</f>
        <v/>
      </c>
      <c r="F19">
        <f>COUNTIFS('UAT Test Cases'!B2:B65,"Games - Trivia",'UAT Test Cases'!L2:L65,"Pass")</f>
        <v/>
      </c>
    </row>
    <row r="20">
      <c r="D20" s="14" t="inlineStr">
        <is>
          <t>Games</t>
        </is>
      </c>
      <c r="E20">
        <f>COUNTIF('UAT Test Cases'!B2:B65,"Games")</f>
        <v/>
      </c>
      <c r="F20">
        <f>COUNTIFS('UAT Test Cases'!B2:B65,"Games",'UAT Test Cases'!L2:L65,"Pass")</f>
        <v/>
      </c>
    </row>
    <row r="21">
      <c r="D21" s="14" t="inlineStr">
        <is>
          <t>News</t>
        </is>
      </c>
      <c r="E21">
        <f>COUNTIF('UAT Test Cases'!B2:B65,"News")</f>
        <v/>
      </c>
      <c r="F21">
        <f>COUNTIFS('UAT Test Cases'!B2:B65,"News",'UAT Test Cases'!L2:L65,"Pass")</f>
        <v/>
      </c>
    </row>
    <row r="22">
      <c r="D22" s="14" t="inlineStr">
        <is>
          <t>Ads</t>
        </is>
      </c>
      <c r="E22">
        <f>COUNTIF('UAT Test Cases'!B2:B65,"Ads")</f>
        <v/>
      </c>
      <c r="F22">
        <f>COUNTIFS('UAT Test Cases'!B2:B65,"Ads",'UAT Test Cases'!L2:L65,"Pass")</f>
        <v/>
      </c>
    </row>
    <row r="23">
      <c r="D23" s="14" t="inlineStr">
        <is>
          <t>Design / Theme</t>
        </is>
      </c>
      <c r="E23">
        <f>COUNTIF('UAT Test Cases'!B2:B65,"Design / Theme")</f>
        <v/>
      </c>
      <c r="F23">
        <f>COUNTIFS('UAT Test Cases'!B2:B65,"Design / Theme",'UAT Test Cases'!L2:L65,"Pass")</f>
        <v/>
      </c>
    </row>
    <row r="24">
      <c r="D24" s="14" t="inlineStr">
        <is>
          <t>Location</t>
        </is>
      </c>
      <c r="E24">
        <f>COUNTIF('UAT Test Cases'!B2:B65,"Location")</f>
        <v/>
      </c>
      <c r="F24">
        <f>COUNTIFS('UAT Test Cases'!B2:B65,"Location",'UAT Test Cases'!L2:L65,"Pass")</f>
        <v/>
      </c>
    </row>
    <row r="25">
      <c r="D25" s="14" t="inlineStr">
        <is>
          <t>Mobile App</t>
        </is>
      </c>
      <c r="E25">
        <f>COUNTIF('UAT Test Cases'!B2:B65,"Mobile App")</f>
        <v/>
      </c>
      <c r="F25">
        <f>COUNTIFS('UAT Test Cases'!B2:B65,"Mobile App",'UAT Test Cases'!L2:L65,"Pass")</f>
        <v/>
      </c>
    </row>
    <row r="26">
      <c r="D26" s="14" t="inlineStr">
        <is>
          <t>Merchant</t>
        </is>
      </c>
      <c r="E26">
        <f>COUNTIF('UAT Test Cases'!B2:B65,"Merchant")</f>
        <v/>
      </c>
      <c r="F26">
        <f>COUNTIFS('UAT Test Cases'!B2:B65,"Merchant",'UAT Test Cases'!L2:L65,"Pass")</f>
        <v/>
      </c>
    </row>
    <row r="27">
      <c r="D27" s="14" t="inlineStr">
        <is>
          <t>Admin</t>
        </is>
      </c>
      <c r="E27">
        <f>COUNTIF('UAT Test Cases'!B2:B65,"Admin")</f>
        <v/>
      </c>
      <c r="F27">
        <f>COUNTIFS('UAT Test Cases'!B2:B65,"Admin",'UAT Test Cases'!L2:L65,"Pass")</f>
        <v/>
      </c>
    </row>
    <row r="28">
      <c r="D28" s="14" t="inlineStr">
        <is>
          <t>Cross-platform</t>
        </is>
      </c>
      <c r="E28">
        <f>COUNTIF('UAT Test Cases'!B2:B65,"Cross-platform")</f>
        <v/>
      </c>
      <c r="F28">
        <f>COUNTIFS('UAT Test Cases'!B2:B65,"Cross-platform",'UAT Test Cases'!L2:L65,"Pass")</f>
        <v/>
      </c>
    </row>
    <row r="29">
      <c r="D29" s="14" t="inlineStr">
        <is>
          <t>Non-functional</t>
        </is>
      </c>
      <c r="E29">
        <f>COUNTIF('UAT Test Cases'!B2:B65,"Non-functional")</f>
        <v/>
      </c>
      <c r="F29">
        <f>COUNTIFS('UAT Test Cases'!B2:B65,"Non-functional",'UAT Test Cases'!L2:L65,"Pass")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2026-08-25T13:44:47Z</dcterms:created>
  <dcterms:modified xmlns:dcterms="http://purl.org/dc/terms/" xmlns:xsi="http://www.w3.org/2001/XMLSchema-instance" xsi:type="dcterms:W3CDTF">2026-08-25T13:44:47Z</dcterms:modified>
</cp:coreProperties>
</file>